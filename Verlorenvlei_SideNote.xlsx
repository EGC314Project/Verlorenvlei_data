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848637\Desktop\EGC_Project\"/>
    </mc:Choice>
  </mc:AlternateContent>
  <xr:revisionPtr revIDLastSave="0" documentId="8_{AA09151B-D8D8-4FDA-89E8-66FCF8561C87}" xr6:coauthVersionLast="47" xr6:coauthVersionMax="47" xr10:uidLastSave="{00000000-0000-0000-0000-000000000000}"/>
  <bookViews>
    <workbookView xWindow="-120" yWindow="-120" windowWidth="29040" windowHeight="15720" xr2:uid="{D95EAA75-5971-44F8-AF4F-580E6DF840D6}"/>
  </bookViews>
  <sheets>
    <sheet name="Verlorenvlei_SideN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" l="1"/>
  <c r="F7" i="1"/>
  <c r="E7" i="1"/>
  <c r="D7" i="1"/>
</calcChain>
</file>

<file path=xl/sharedStrings.xml><?xml version="1.0" encoding="utf-8"?>
<sst xmlns="http://schemas.openxmlformats.org/spreadsheetml/2006/main" count="33" uniqueCount="25">
  <si>
    <t>Verlorenvlei Catchment: Groundwater &amp; Surface Water</t>
  </si>
  <si>
    <t>March "23</t>
  </si>
  <si>
    <t>June "23</t>
  </si>
  <si>
    <t>September "23</t>
  </si>
  <si>
    <t>January "24</t>
  </si>
  <si>
    <t xml:space="preserve">Total Alkalinity QC </t>
  </si>
  <si>
    <t xml:space="preserve">Actual </t>
  </si>
  <si>
    <t>Measured</t>
  </si>
  <si>
    <t>% Recovery</t>
  </si>
  <si>
    <t>IC: limit of quantification in mg/L</t>
  </si>
  <si>
    <t>Cl-</t>
  </si>
  <si>
    <t>SO42-</t>
  </si>
  <si>
    <t>PO43-</t>
  </si>
  <si>
    <t>NO3-</t>
  </si>
  <si>
    <t>NO2-</t>
  </si>
  <si>
    <t>Br-</t>
  </si>
  <si>
    <t>F-</t>
  </si>
  <si>
    <t>ICP-MS: limit of quantification in mg/L</t>
  </si>
  <si>
    <t>Na+</t>
  </si>
  <si>
    <t>K+</t>
  </si>
  <si>
    <t xml:space="preserve">Mg2+ </t>
  </si>
  <si>
    <t>Ca2+</t>
  </si>
  <si>
    <t>Si4+</t>
  </si>
  <si>
    <t>Li+</t>
  </si>
  <si>
    <t>ICP-MS: % ACCURACY (QC)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</si>
</sst>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1"/>
      <color rgb="FF20212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vertical="top"/>
    </xf>
    <xf numFmtId="2" fontId="3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31AD-A7E8-4DA1-A1BE-D20242B25486}">
  <dimension ref="A1:G31"/>
  <sheetViews>
    <sheetView tabSelected="1" workbookViewId="0">
      <selection sqref="A1:G1048576"/>
    </sheetView>
  </sheetViews>
  <sheetFormatPr defaultRowHeight="15" x14ac:dyDescent="0.25"/>
  <cols>
    <col min="1" max="1" width="15.42578125" customWidth="1"/>
    <col min="2" max="3" width="12.140625" customWidth="1"/>
    <col min="4" max="4" width="15.7109375" customWidth="1"/>
    <col min="5" max="5" width="9.28515625" customWidth="1"/>
    <col min="6" max="6" width="15.28515625" customWidth="1"/>
    <col min="7" max="7" width="15" customWidth="1"/>
  </cols>
  <sheetData>
    <row r="1" spans="1:7" x14ac:dyDescent="0.25">
      <c r="A1" s="1" t="s">
        <v>0</v>
      </c>
    </row>
    <row r="3" spans="1:7" ht="15.75" x14ac:dyDescent="0.25">
      <c r="A3" s="2"/>
      <c r="B3" s="3"/>
      <c r="C3" s="3"/>
      <c r="D3" s="2"/>
      <c r="E3" s="4"/>
      <c r="F3" s="5"/>
      <c r="G3" s="5"/>
    </row>
    <row r="4" spans="1:7" ht="15.75" x14ac:dyDescent="0.25">
      <c r="A4" s="6"/>
      <c r="B4" s="2"/>
      <c r="C4" s="2"/>
      <c r="D4" s="7" t="s">
        <v>1</v>
      </c>
      <c r="E4" s="7" t="s">
        <v>2</v>
      </c>
      <c r="F4" s="7" t="s">
        <v>3</v>
      </c>
      <c r="G4" s="8" t="s">
        <v>4</v>
      </c>
    </row>
    <row r="5" spans="1:7" x14ac:dyDescent="0.25">
      <c r="A5" s="9" t="s">
        <v>5</v>
      </c>
      <c r="B5" s="9"/>
      <c r="C5" s="10" t="s">
        <v>6</v>
      </c>
      <c r="D5" s="11">
        <v>50</v>
      </c>
      <c r="E5" s="11">
        <v>50</v>
      </c>
      <c r="F5" s="12">
        <v>46.7</v>
      </c>
      <c r="G5" s="13">
        <v>100</v>
      </c>
    </row>
    <row r="6" spans="1:7" x14ac:dyDescent="0.25">
      <c r="A6" s="9"/>
      <c r="B6" s="9"/>
      <c r="C6" s="10" t="s">
        <v>7</v>
      </c>
      <c r="D6" s="11">
        <v>54.6</v>
      </c>
      <c r="E6" s="12">
        <v>57.2</v>
      </c>
      <c r="F6" s="11">
        <v>50</v>
      </c>
      <c r="G6" s="14">
        <v>95</v>
      </c>
    </row>
    <row r="7" spans="1:7" x14ac:dyDescent="0.25">
      <c r="A7" s="15"/>
      <c r="B7" s="15"/>
      <c r="C7" s="10" t="s">
        <v>8</v>
      </c>
      <c r="D7" s="16">
        <f>D6/D5*100</f>
        <v>109.2</v>
      </c>
      <c r="E7" s="16">
        <f>E6/E5*100</f>
        <v>114.4</v>
      </c>
      <c r="F7" s="17">
        <f>F5/F6*100</f>
        <v>93.4</v>
      </c>
      <c r="G7" s="16">
        <f>G6/G5*100</f>
        <v>95</v>
      </c>
    </row>
    <row r="8" spans="1:7" x14ac:dyDescent="0.25">
      <c r="A8" s="18" t="s">
        <v>9</v>
      </c>
      <c r="B8" s="19"/>
      <c r="C8" s="3"/>
      <c r="D8" s="4"/>
      <c r="E8" s="15"/>
      <c r="F8" s="15"/>
      <c r="G8" s="15"/>
    </row>
    <row r="9" spans="1:7" x14ac:dyDescent="0.25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</row>
    <row r="10" spans="1:7" x14ac:dyDescent="0.25">
      <c r="A10" s="20">
        <v>0.75</v>
      </c>
      <c r="B10" s="20">
        <v>0.75</v>
      </c>
      <c r="C10" s="12">
        <v>0.1</v>
      </c>
      <c r="D10" s="20">
        <v>0.05</v>
      </c>
      <c r="E10" s="20">
        <v>0.05</v>
      </c>
      <c r="F10" s="20">
        <v>0.05</v>
      </c>
      <c r="G10" s="20">
        <v>0.05</v>
      </c>
    </row>
    <row r="11" spans="1:7" x14ac:dyDescent="0.25">
      <c r="A11" s="19"/>
      <c r="B11" s="3"/>
      <c r="C11" s="3"/>
      <c r="D11" s="21"/>
      <c r="E11" s="22"/>
      <c r="F11" s="19"/>
      <c r="G11" s="19"/>
    </row>
    <row r="12" spans="1:7" x14ac:dyDescent="0.25">
      <c r="A12" s="18" t="s">
        <v>17</v>
      </c>
      <c r="B12" s="3"/>
      <c r="C12" s="3"/>
      <c r="D12" s="23"/>
      <c r="E12" s="23"/>
      <c r="F12" s="23"/>
      <c r="G12" s="23"/>
    </row>
    <row r="13" spans="1:7" x14ac:dyDescent="0.25">
      <c r="A13" s="7" t="s">
        <v>18</v>
      </c>
      <c r="B13" s="7" t="s">
        <v>19</v>
      </c>
      <c r="C13" s="7" t="s">
        <v>20</v>
      </c>
      <c r="D13" s="7" t="s">
        <v>21</v>
      </c>
      <c r="E13" s="7" t="s">
        <v>22</v>
      </c>
      <c r="F13" s="7" t="s">
        <v>23</v>
      </c>
    </row>
    <row r="14" spans="1:7" x14ac:dyDescent="0.25">
      <c r="A14" s="24">
        <v>0.1</v>
      </c>
      <c r="B14" s="24">
        <v>0.1</v>
      </c>
      <c r="C14" s="24">
        <v>0.1</v>
      </c>
      <c r="D14" s="24">
        <v>0.03</v>
      </c>
      <c r="E14" s="24">
        <v>0.1</v>
      </c>
      <c r="F14" s="24">
        <v>0.1</v>
      </c>
    </row>
    <row r="15" spans="1:7" x14ac:dyDescent="0.25">
      <c r="A15" s="15"/>
      <c r="B15" s="22"/>
      <c r="C15" s="22"/>
      <c r="D15" s="22"/>
      <c r="E15" s="22"/>
    </row>
    <row r="16" spans="1:7" x14ac:dyDescent="0.25">
      <c r="A16" s="18" t="s">
        <v>24</v>
      </c>
      <c r="B16" s="15"/>
      <c r="C16" s="15"/>
      <c r="D16" s="15"/>
      <c r="E16" s="15"/>
    </row>
    <row r="17" spans="1:5" x14ac:dyDescent="0.25">
      <c r="A17" s="15"/>
      <c r="B17" s="15"/>
      <c r="C17" s="15"/>
      <c r="D17" s="15"/>
      <c r="E17" s="15"/>
    </row>
    <row r="18" spans="1:5" x14ac:dyDescent="0.25">
      <c r="A18" s="15"/>
      <c r="B18" s="7" t="s">
        <v>18</v>
      </c>
      <c r="C18" s="7" t="s">
        <v>19</v>
      </c>
      <c r="D18" s="7" t="s">
        <v>20</v>
      </c>
      <c r="E18" s="7" t="s">
        <v>21</v>
      </c>
    </row>
    <row r="19" spans="1:5" x14ac:dyDescent="0.25">
      <c r="A19" s="7" t="s">
        <v>1</v>
      </c>
      <c r="B19" s="24">
        <v>93.52000000000001</v>
      </c>
      <c r="C19" s="24">
        <v>93.19</v>
      </c>
      <c r="D19" s="24">
        <v>98.75500000000001</v>
      </c>
      <c r="E19" s="24">
        <v>107.14999999999999</v>
      </c>
    </row>
    <row r="20" spans="1:5" x14ac:dyDescent="0.25">
      <c r="A20" s="7" t="s">
        <v>2</v>
      </c>
      <c r="B20" s="24">
        <v>102.3</v>
      </c>
      <c r="C20" s="24">
        <v>101.39</v>
      </c>
      <c r="D20" s="24">
        <v>107.94999999999999</v>
      </c>
      <c r="E20" s="24">
        <v>104.43500000000002</v>
      </c>
    </row>
    <row r="21" spans="1:5" x14ac:dyDescent="0.25">
      <c r="A21" s="7" t="s">
        <v>3</v>
      </c>
      <c r="B21" s="24">
        <v>108.05</v>
      </c>
      <c r="C21" s="24">
        <v>99.075000000000003</v>
      </c>
      <c r="D21" s="24">
        <v>110.9</v>
      </c>
      <c r="E21" s="24">
        <v>111.97500000000001</v>
      </c>
    </row>
    <row r="22" spans="1:5" ht="15.75" x14ac:dyDescent="0.25">
      <c r="A22" s="8" t="s">
        <v>4</v>
      </c>
      <c r="B22" s="24">
        <v>104.8100820339948</v>
      </c>
      <c r="C22" s="24">
        <v>100.77588506596737</v>
      </c>
      <c r="D22" s="24">
        <v>107.24105450255475</v>
      </c>
      <c r="E22" s="24">
        <v>106.29813289579775</v>
      </c>
    </row>
    <row r="23" spans="1:5" x14ac:dyDescent="0.25">
      <c r="A23" s="15"/>
      <c r="B23" s="15"/>
      <c r="C23" s="15"/>
      <c r="D23" s="15"/>
      <c r="E23" s="15"/>
    </row>
    <row r="24" spans="1:5" x14ac:dyDescent="0.25">
      <c r="A24" s="25"/>
      <c r="B24" s="3"/>
      <c r="C24" s="3"/>
      <c r="D24" s="22"/>
      <c r="E24" s="15"/>
    </row>
    <row r="25" spans="1:5" x14ac:dyDescent="0.25">
      <c r="A25" s="25"/>
      <c r="B25" s="15"/>
      <c r="C25" s="15"/>
      <c r="D25" s="15"/>
      <c r="E25" s="15"/>
    </row>
    <row r="26" spans="1:5" x14ac:dyDescent="0.25">
      <c r="A26" s="15"/>
      <c r="B26" s="15"/>
      <c r="C26" s="15"/>
      <c r="D26" s="15"/>
      <c r="E26" s="15"/>
    </row>
    <row r="27" spans="1:5" x14ac:dyDescent="0.25">
      <c r="A27" s="15"/>
      <c r="B27" s="15"/>
      <c r="C27" s="15"/>
      <c r="D27" s="15"/>
      <c r="E27" s="15"/>
    </row>
    <row r="28" spans="1:5" x14ac:dyDescent="0.25">
      <c r="A28" s="26"/>
      <c r="B28" s="15"/>
      <c r="C28" s="15"/>
      <c r="D28" s="15"/>
      <c r="E28" s="15"/>
    </row>
    <row r="29" spans="1:5" x14ac:dyDescent="0.25">
      <c r="A29" s="15"/>
      <c r="B29" s="15"/>
      <c r="C29" s="15"/>
      <c r="D29" s="15"/>
      <c r="E29" s="15"/>
    </row>
    <row r="30" spans="1:5" x14ac:dyDescent="0.25">
      <c r="A30" s="15"/>
      <c r="B30" s="15"/>
      <c r="C30" s="15"/>
      <c r="D30" s="15"/>
      <c r="E30" s="15"/>
    </row>
    <row r="31" spans="1:5" x14ac:dyDescent="0.25">
      <c r="A31" s="15"/>
      <c r="B31" s="15"/>
      <c r="C31" s="15"/>
      <c r="D31" s="15"/>
      <c r="E31" s="15"/>
    </row>
  </sheetData>
  <mergeCells count="1"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Verlorenvlei_SideNote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Mashazi, MB, Mr [21848637@sun.ac.za]</dc:creator>
  <cp:lastModifiedBy>Mashazi, MB, Mr [21848637@sun.ac.za]</cp:lastModifiedBy>
  <dcterms:created xsi:type="dcterms:W3CDTF">2026-04-27T16:53:11Z</dcterms:created>
  <dcterms:modified xsi:type="dcterms:W3CDTF">2026-04-27T16:53:31Z</dcterms:modified>
</cp:coreProperties>
</file>