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848637\Desktop\EGC_Project\"/>
    </mc:Choice>
  </mc:AlternateContent>
  <xr:revisionPtr revIDLastSave="0" documentId="8_{8511BBC9-1B78-4283-9B78-02DD61569AA8}" xr6:coauthVersionLast="47" xr6:coauthVersionMax="47" xr10:uidLastSave="{00000000-0000-0000-0000-000000000000}"/>
  <bookViews>
    <workbookView xWindow="-120" yWindow="-120" windowWidth="29040" windowHeight="15720" xr2:uid="{90A7F824-F403-44FB-8DDA-6E5609622067}"/>
  </bookViews>
  <sheets>
    <sheet name="Verlorenvlei_Groundw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1" i="1" l="1"/>
  <c r="M120" i="1"/>
  <c r="M114" i="1"/>
  <c r="M108" i="1"/>
  <c r="M107" i="1"/>
  <c r="M101" i="1"/>
  <c r="M98" i="1"/>
  <c r="M92" i="1"/>
  <c r="M91" i="1"/>
  <c r="M88" i="1"/>
  <c r="M82" i="1"/>
  <c r="M79" i="1"/>
  <c r="M77" i="1"/>
  <c r="M73" i="1"/>
  <c r="M70" i="1"/>
  <c r="AD66" i="1"/>
  <c r="M66" i="1"/>
  <c r="AD65" i="1"/>
  <c r="M65" i="1"/>
  <c r="AD64" i="1"/>
  <c r="M64" i="1"/>
  <c r="AD62" i="1"/>
  <c r="M62" i="1"/>
  <c r="M61" i="1"/>
  <c r="AD60" i="1"/>
  <c r="M60" i="1"/>
  <c r="AD56" i="1"/>
  <c r="M56" i="1"/>
  <c r="AD54" i="1"/>
  <c r="M54" i="1"/>
  <c r="AD52" i="1"/>
  <c r="M52" i="1"/>
  <c r="AD51" i="1"/>
  <c r="M51" i="1"/>
  <c r="AD50" i="1"/>
  <c r="M50" i="1"/>
  <c r="AD49" i="1"/>
  <c r="M49" i="1"/>
  <c r="AD47" i="1"/>
  <c r="M47" i="1"/>
  <c r="AD45" i="1"/>
  <c r="M45" i="1"/>
  <c r="AD44" i="1"/>
  <c r="M44" i="1"/>
  <c r="AD43" i="1"/>
  <c r="M43" i="1"/>
  <c r="AD41" i="1"/>
  <c r="M41" i="1"/>
  <c r="AD40" i="1"/>
  <c r="M40" i="1"/>
  <c r="AD39" i="1"/>
  <c r="M39" i="1"/>
  <c r="AD38" i="1"/>
  <c r="M38" i="1"/>
  <c r="AD37" i="1"/>
  <c r="M37" i="1"/>
  <c r="M35" i="1"/>
  <c r="AD34" i="1"/>
  <c r="M34" i="1"/>
  <c r="AD33" i="1"/>
  <c r="AD32" i="1"/>
  <c r="M32" i="1"/>
  <c r="AD31" i="1"/>
  <c r="M31" i="1"/>
  <c r="AD30" i="1"/>
  <c r="AD29" i="1"/>
  <c r="M29" i="1"/>
  <c r="AD28" i="1"/>
  <c r="M28" i="1"/>
  <c r="AD27" i="1"/>
  <c r="AD26" i="1"/>
  <c r="M26" i="1"/>
  <c r="AD25" i="1"/>
  <c r="AD24" i="1"/>
  <c r="M24" i="1"/>
  <c r="AD23" i="1"/>
  <c r="M23" i="1"/>
  <c r="AD22" i="1"/>
  <c r="AD21" i="1"/>
  <c r="M21" i="1"/>
  <c r="AD20" i="1"/>
  <c r="AD19" i="1"/>
  <c r="M19" i="1"/>
  <c r="AD18" i="1"/>
  <c r="M18" i="1"/>
  <c r="AD17" i="1"/>
  <c r="M17" i="1"/>
  <c r="AD16" i="1"/>
  <c r="AD15" i="1"/>
  <c r="M15" i="1"/>
  <c r="AD14" i="1"/>
  <c r="M14" i="1"/>
  <c r="AD13" i="1"/>
  <c r="M13" i="1"/>
  <c r="AD12" i="1"/>
  <c r="M12" i="1"/>
  <c r="AD11" i="1"/>
  <c r="AD9" i="1"/>
  <c r="M9" i="1"/>
  <c r="AD8" i="1"/>
  <c r="M8" i="1"/>
  <c r="AD7" i="1"/>
  <c r="AD5" i="1"/>
  <c r="M5" i="1"/>
  <c r="AD4" i="1"/>
  <c r="M4" i="1"/>
  <c r="M3" i="1"/>
  <c r="AD2" i="1"/>
  <c r="M2" i="1"/>
</calcChain>
</file>

<file path=xl/sharedStrings.xml><?xml version="1.0" encoding="utf-8"?>
<sst xmlns="http://schemas.openxmlformats.org/spreadsheetml/2006/main" count="1739" uniqueCount="158">
  <si>
    <t>Borehole ID</t>
  </si>
  <si>
    <t>Date</t>
  </si>
  <si>
    <t xml:space="preserve">Latitude </t>
  </si>
  <si>
    <t xml:space="preserve">Longitude </t>
  </si>
  <si>
    <t>Borehole Depth (m)</t>
  </si>
  <si>
    <t xml:space="preserve">Host Rock &amp; Aquifer </t>
  </si>
  <si>
    <t>Altitude (m.a.b.s.l)</t>
  </si>
  <si>
    <t>Field EC (µs/cm)</t>
  </si>
  <si>
    <t>Lab EC (µs.cm-1)</t>
  </si>
  <si>
    <t>Field pH</t>
  </si>
  <si>
    <t>Lab pH</t>
  </si>
  <si>
    <t>Field TDS (mg/L)</t>
  </si>
  <si>
    <t>Lab TDS (mg/L)</t>
  </si>
  <si>
    <r>
      <t>Na</t>
    </r>
    <r>
      <rPr>
        <b/>
        <vertAlign val="superscript"/>
        <sz val="11"/>
        <color theme="1"/>
        <rFont val="Cambria"/>
        <family val="1"/>
      </rPr>
      <t>+</t>
    </r>
    <r>
      <rPr>
        <b/>
        <sz val="11"/>
        <color theme="1"/>
        <rFont val="Cambria"/>
        <family val="1"/>
      </rPr>
      <t xml:space="preserve"> (mg/L)</t>
    </r>
  </si>
  <si>
    <r>
      <t>K</t>
    </r>
    <r>
      <rPr>
        <b/>
        <vertAlign val="superscript"/>
        <sz val="11"/>
        <color theme="1"/>
        <rFont val="Cambria"/>
        <family val="1"/>
      </rPr>
      <t>+</t>
    </r>
  </si>
  <si>
    <r>
      <t>Mg</t>
    </r>
    <r>
      <rPr>
        <b/>
        <vertAlign val="superscript"/>
        <sz val="11"/>
        <color theme="1"/>
        <rFont val="Cambria"/>
        <family val="1"/>
      </rPr>
      <t xml:space="preserve">2+ </t>
    </r>
    <r>
      <rPr>
        <b/>
        <sz val="11"/>
        <color theme="1"/>
        <rFont val="Cambria"/>
        <family val="1"/>
      </rPr>
      <t>(mg/L)</t>
    </r>
  </si>
  <si>
    <r>
      <t>Ca</t>
    </r>
    <r>
      <rPr>
        <b/>
        <vertAlign val="superscript"/>
        <sz val="11"/>
        <color theme="1"/>
        <rFont val="Cambria"/>
        <family val="1"/>
      </rPr>
      <t>2+</t>
    </r>
    <r>
      <rPr>
        <b/>
        <sz val="11"/>
        <color theme="1"/>
        <rFont val="Cambria"/>
        <family val="1"/>
      </rPr>
      <t xml:space="preserve"> (mg/L)</t>
    </r>
  </si>
  <si>
    <r>
      <t>Cl</t>
    </r>
    <r>
      <rPr>
        <b/>
        <vertAlign val="superscript"/>
        <sz val="1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</si>
  <si>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SO</t>
    </r>
    <r>
      <rPr>
        <b/>
        <vertAlign val="subscript"/>
        <sz val="11"/>
        <color theme="1"/>
        <rFont val="Cambria"/>
        <family val="1"/>
      </rPr>
      <t>4</t>
    </r>
    <r>
      <rPr>
        <b/>
        <vertAlign val="superscript"/>
        <sz val="11"/>
        <color theme="1"/>
        <rFont val="Cambria"/>
        <family val="1"/>
      </rPr>
      <t>2-</t>
    </r>
    <r>
      <rPr>
        <b/>
        <sz val="11"/>
        <color theme="1"/>
        <rFont val="Cambria"/>
        <family val="1"/>
      </rPr>
      <t xml:space="preserve"> (mg/L)</t>
    </r>
  </si>
  <si>
    <r>
      <t>HCO</t>
    </r>
    <r>
      <rPr>
        <b/>
        <vertAlign val="subscript"/>
        <sz val="11"/>
        <color theme="1"/>
        <rFont val="Cambria"/>
        <family val="1"/>
      </rPr>
      <t>3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</si>
  <si>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PO</t>
    </r>
    <r>
      <rPr>
        <b/>
        <vertAlign val="subscript"/>
        <sz val="11"/>
        <color theme="1"/>
        <rFont val="Cambria"/>
        <family val="1"/>
      </rPr>
      <t>4</t>
    </r>
    <r>
      <rPr>
        <b/>
        <vertAlign val="superscript"/>
        <sz val="11"/>
        <color theme="1"/>
        <rFont val="Cambria"/>
        <family val="1"/>
      </rPr>
      <t>3-</t>
    </r>
    <r>
      <rPr>
        <b/>
        <sz val="11"/>
        <color theme="1"/>
        <rFont val="Cambria"/>
        <family val="1"/>
      </rPr>
      <t xml:space="preserve"> (mg/L)</t>
    </r>
  </si>
  <si>
    <r>
      <t>NO</t>
    </r>
    <r>
      <rPr>
        <b/>
        <vertAlign val="subscript"/>
        <sz val="11"/>
        <color theme="1"/>
        <rFont val="Cambria"/>
        <family val="1"/>
      </rPr>
      <t>3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</si>
  <si>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NO</t>
    </r>
    <r>
      <rPr>
        <b/>
        <vertAlign val="subscript"/>
        <sz val="11"/>
        <color theme="1"/>
        <rFont val="Cambria"/>
        <family val="1"/>
      </rPr>
      <t>2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</si>
  <si>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Br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</si>
  <si>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F</t>
    </r>
    <r>
      <rPr>
        <b/>
        <vertAlign val="superscript"/>
        <sz val="11"/>
        <color theme="1"/>
        <rFont val="Cambria"/>
        <family val="1"/>
      </rPr>
      <t xml:space="preserve">- </t>
    </r>
    <r>
      <rPr>
        <b/>
        <sz val="11"/>
        <color theme="1"/>
        <rFont val="Cambria"/>
        <family val="1"/>
      </rPr>
      <t>(mg/L)</t>
    </r>
  </si>
  <si>
    <r>
      <t>δ</t>
    </r>
    <r>
      <rPr>
        <b/>
        <vertAlign val="superscript"/>
        <sz val="11"/>
        <rFont val="Cambria"/>
        <family val="1"/>
      </rPr>
      <t>2</t>
    </r>
    <r>
      <rPr>
        <b/>
        <sz val="11"/>
        <rFont val="Cambria"/>
        <family val="1"/>
      </rPr>
      <t>H (‰)</t>
    </r>
  </si>
  <si>
    <r>
      <t>δ</t>
    </r>
    <r>
      <rPr>
        <b/>
        <vertAlign val="superscript"/>
        <sz val="11"/>
        <rFont val="Cambria"/>
        <family val="1"/>
      </rPr>
      <t>2</t>
    </r>
    <r>
      <rPr>
        <b/>
        <sz val="11"/>
        <rFont val="Cambria"/>
        <family val="1"/>
      </rPr>
      <t>H St.dev</t>
    </r>
  </si>
  <si>
    <r>
      <t>δ</t>
    </r>
    <r>
      <rPr>
        <b/>
        <vertAlign val="superscript"/>
        <sz val="11"/>
        <rFont val="Cambria"/>
        <family val="1"/>
      </rPr>
      <t>18</t>
    </r>
    <r>
      <rPr>
        <b/>
        <sz val="11"/>
        <rFont val="Cambria"/>
        <family val="1"/>
      </rPr>
      <t>O (‰)</t>
    </r>
  </si>
  <si>
    <r>
      <t>δ</t>
    </r>
    <r>
      <rPr>
        <b/>
        <vertAlign val="superscript"/>
        <sz val="11"/>
        <rFont val="Cambria"/>
        <family val="1"/>
      </rPr>
      <t>18</t>
    </r>
    <r>
      <rPr>
        <b/>
        <sz val="11"/>
        <rFont val="Cambria"/>
        <family val="1"/>
      </rPr>
      <t>O St.dev</t>
    </r>
  </si>
  <si>
    <t>d-excess (‰)</t>
  </si>
  <si>
    <r>
      <t>H</t>
    </r>
    <r>
      <rPr>
        <b/>
        <vertAlign val="superscript"/>
        <sz val="11"/>
        <color theme="1"/>
        <rFont val="Cambria"/>
        <family val="1"/>
      </rPr>
      <t xml:space="preserve">3 </t>
    </r>
    <r>
      <rPr>
        <b/>
        <sz val="11"/>
        <color theme="1"/>
        <rFont val="Cambria"/>
        <family val="1"/>
      </rPr>
      <t>(TU)</t>
    </r>
  </si>
  <si>
    <r>
      <t>H</t>
    </r>
    <r>
      <rPr>
        <b/>
        <vertAlign val="superscript"/>
        <sz val="11"/>
        <color theme="1"/>
        <rFont val="Cambria"/>
        <family val="1"/>
      </rPr>
      <t>3 (</t>
    </r>
    <r>
      <rPr>
        <b/>
        <sz val="11"/>
        <color theme="1"/>
        <rFont val="Cambria"/>
        <family val="1"/>
      </rPr>
      <t>Bq.dm-3)</t>
    </r>
  </si>
  <si>
    <t>BOPBH001</t>
  </si>
  <si>
    <t>TMG (S)</t>
  </si>
  <si>
    <t>NaN</t>
  </si>
  <si>
    <t>BOPBH002</t>
  </si>
  <si>
    <t>6.042</t>
  </si>
  <si>
    <t>KABH001</t>
  </si>
  <si>
    <t>MG (S)</t>
  </si>
  <si>
    <t>KABH002</t>
  </si>
  <si>
    <t>KABH003</t>
  </si>
  <si>
    <t>KABH004</t>
  </si>
  <si>
    <t>KABH005</t>
  </si>
  <si>
    <t>HOLBH001</t>
  </si>
  <si>
    <t>HOLBH002</t>
  </si>
  <si>
    <t>HOLBH003</t>
  </si>
  <si>
    <t>HOLBH004</t>
  </si>
  <si>
    <t>VERBH000</t>
  </si>
  <si>
    <t>VERBH001</t>
  </si>
  <si>
    <t>Alluvial (P)</t>
  </si>
  <si>
    <t>VERBH002</t>
  </si>
  <si>
    <t>VERBH003</t>
  </si>
  <si>
    <t>VERBH004</t>
  </si>
  <si>
    <t>VERBH005</t>
  </si>
  <si>
    <t>LANGBH001</t>
  </si>
  <si>
    <t>LANGBH002</t>
  </si>
  <si>
    <t>LANGBH003</t>
  </si>
  <si>
    <t>LANGBH004</t>
  </si>
  <si>
    <t>LANGBH005</t>
  </si>
  <si>
    <t>LANGBH006</t>
  </si>
  <si>
    <t>BERGBH001</t>
  </si>
  <si>
    <t>BERGBH002</t>
  </si>
  <si>
    <t>BERGBH003</t>
  </si>
  <si>
    <t>BERGBH004</t>
  </si>
  <si>
    <t>BERGBH005</t>
  </si>
  <si>
    <t>BERGBH006</t>
  </si>
  <si>
    <t>BERGBH007</t>
  </si>
  <si>
    <t>KRMSBH001</t>
  </si>
  <si>
    <t>KRMSBH002</t>
  </si>
  <si>
    <t>BOPBH101</t>
  </si>
  <si>
    <t>BOPBH102</t>
  </si>
  <si>
    <t>BOPBH103</t>
  </si>
  <si>
    <t>KABH101</t>
  </si>
  <si>
    <t>KABH102</t>
  </si>
  <si>
    <t>KABH103</t>
  </si>
  <si>
    <t>HOLBH101</t>
  </si>
  <si>
    <t>HOLBH102</t>
  </si>
  <si>
    <t>HOLBH103</t>
  </si>
  <si>
    <t>HOLBH104</t>
  </si>
  <si>
    <t>VERBH101</t>
  </si>
  <si>
    <t>VERBH102</t>
  </si>
  <si>
    <t>VERBH103</t>
  </si>
  <si>
    <t>VERBH104</t>
  </si>
  <si>
    <t>VERBH105</t>
  </si>
  <si>
    <t>VERBH106</t>
  </si>
  <si>
    <t>LANGBH101</t>
  </si>
  <si>
    <t>LANGBH102</t>
  </si>
  <si>
    <t>LANGBH103</t>
  </si>
  <si>
    <t>LANGBH104</t>
  </si>
  <si>
    <t>LANGBH105</t>
  </si>
  <si>
    <t>LANGBH106</t>
  </si>
  <si>
    <t>BERGBH101</t>
  </si>
  <si>
    <t>BERGBH102</t>
  </si>
  <si>
    <t>BERGBH103</t>
  </si>
  <si>
    <t>BERGBH104</t>
  </si>
  <si>
    <t>BERGBH105</t>
  </si>
  <si>
    <t>BERGBH106</t>
  </si>
  <si>
    <t>BERGBH107</t>
  </si>
  <si>
    <t>BERGBH108</t>
  </si>
  <si>
    <t>BERGBH109</t>
  </si>
  <si>
    <t>KRMSBH101</t>
  </si>
  <si>
    <t>KRMSBH102</t>
  </si>
  <si>
    <t>KABH201</t>
  </si>
  <si>
    <t>KABH202</t>
  </si>
  <si>
    <t>KABH203</t>
  </si>
  <si>
    <t>KABH204</t>
  </si>
  <si>
    <t>HOLBH201</t>
  </si>
  <si>
    <t>HOLBH202</t>
  </si>
  <si>
    <t>HOLBH203</t>
  </si>
  <si>
    <t>HOLBH204</t>
  </si>
  <si>
    <t>VERBH201</t>
  </si>
  <si>
    <t>VERBH202</t>
  </si>
  <si>
    <t>VERBH203</t>
  </si>
  <si>
    <t>LANGBH201</t>
  </si>
  <si>
    <t>LANGBH202</t>
  </si>
  <si>
    <t>LANGBH203</t>
  </si>
  <si>
    <t>BERGBH201</t>
  </si>
  <si>
    <t>BERGBH202</t>
  </si>
  <si>
    <t>BERGBH203</t>
  </si>
  <si>
    <t>BERGBH204</t>
  </si>
  <si>
    <t>BERGBH205</t>
  </si>
  <si>
    <t>BERGBH206</t>
  </si>
  <si>
    <t>BERGBH207</t>
  </si>
  <si>
    <t>BERGBH208</t>
  </si>
  <si>
    <t>BERGBH209</t>
  </si>
  <si>
    <t>KRMSBH201</t>
  </si>
  <si>
    <t>KRMSBH202</t>
  </si>
  <si>
    <t>BOPBH301</t>
  </si>
  <si>
    <t>BOPBH302</t>
  </si>
  <si>
    <t>KABH301</t>
  </si>
  <si>
    <t>KABH302</t>
  </si>
  <si>
    <t>KABH303</t>
  </si>
  <si>
    <t>KABH304</t>
  </si>
  <si>
    <t>KABH305</t>
  </si>
  <si>
    <t>HOLBH301</t>
  </si>
  <si>
    <t>HOLBH302</t>
  </si>
  <si>
    <t>HOLBH303</t>
  </si>
  <si>
    <t>HOLBH304</t>
  </si>
  <si>
    <t>VERBH301</t>
  </si>
  <si>
    <t>VERBH302</t>
  </si>
  <si>
    <t>VERBH303</t>
  </si>
  <si>
    <t>VERBH304</t>
  </si>
  <si>
    <t>VERBH305</t>
  </si>
  <si>
    <t>LANGBH301</t>
  </si>
  <si>
    <t>LANGBH302</t>
  </si>
  <si>
    <t>LANGBH303</t>
  </si>
  <si>
    <t>LANGBH305</t>
  </si>
  <si>
    <t>LANGBH306</t>
  </si>
  <si>
    <t>BERGBH301</t>
  </si>
  <si>
    <t>BERGBH302</t>
  </si>
  <si>
    <t>BERGBH303</t>
  </si>
  <si>
    <t>BERGBH304</t>
  </si>
  <si>
    <t>BERGBH305</t>
  </si>
  <si>
    <t>BERGBH306</t>
  </si>
  <si>
    <t>BERGBH307</t>
  </si>
  <si>
    <t>BERGBH308</t>
  </si>
  <si>
    <t>KRMSBH301</t>
  </si>
  <si>
    <t>KRMSBH302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</si>
</sst>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000000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vertAlign val="superscript"/>
      <sz val="11"/>
      <color theme="1"/>
      <name val="Cambria"/>
      <family val="1"/>
    </font>
    <font>
      <b/>
      <vertAlign val="superscript"/>
      <sz val="11"/>
      <name val="Cambria"/>
      <family val="1"/>
    </font>
    <font>
      <b/>
      <vertAlign val="subscript"/>
      <sz val="11"/>
      <color theme="1"/>
      <name val="Cambria"/>
      <family val="1"/>
    </font>
    <font>
      <sz val="11"/>
      <color theme="1"/>
      <name val="Cambria"/>
      <family val="1"/>
    </font>
    <font>
      <sz val="11"/>
      <color indexed="8"/>
      <name val="Cambria"/>
      <family val="1"/>
    </font>
    <font>
      <sz val="11"/>
      <name val="Cambria"/>
      <family val="1"/>
    </font>
    <font>
      <sz val="11"/>
      <color rgb="FF333333"/>
      <name val="Cambria"/>
      <family val="1"/>
    </font>
    <font>
      <i/>
      <sz val="11"/>
      <color theme="1"/>
      <name val="Cambria"/>
      <family val="1"/>
    </font>
    <font>
      <sz val="11"/>
      <color rgb="FF000000"/>
      <name val="Cambria"/>
      <family val="1"/>
    </font>
    <font>
      <i/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44">
    <xf numFmtId="0" fontId="0" fillId="0" borderId="0" xfId="0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center"/>
    </xf>
    <xf numFmtId="2" fontId="10" fillId="0" borderId="1" xfId="2" applyNumberFormat="1" applyFont="1" applyFill="1" applyBorder="1" applyAlignment="1" applyProtection="1">
      <alignment horizontal="center" vertical="center"/>
    </xf>
    <xf numFmtId="1" fontId="10" fillId="0" borderId="1" xfId="2" applyNumberFormat="1" applyFont="1" applyFill="1" applyBorder="1" applyAlignment="1" applyProtection="1">
      <alignment horizontal="center" vertical="center"/>
    </xf>
    <xf numFmtId="2" fontId="12" fillId="0" borderId="1" xfId="0" applyNumberFormat="1" applyFont="1" applyBorder="1" applyAlignment="1">
      <alignment horizontal="center"/>
    </xf>
    <xf numFmtId="2" fontId="10" fillId="0" borderId="1" xfId="3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shrinkToFit="1"/>
    </xf>
    <xf numFmtId="164" fontId="12" fillId="0" borderId="1" xfId="1" applyNumberFormat="1" applyFont="1" applyFill="1" applyBorder="1" applyAlignment="1" applyProtection="1">
      <alignment horizontal="center" vertical="center"/>
    </xf>
    <xf numFmtId="2" fontId="10" fillId="0" borderId="1" xfId="0" quotePrefix="1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164" fontId="10" fillId="0" borderId="1" xfId="2" applyNumberFormat="1" applyFont="1" applyFill="1" applyBorder="1" applyAlignment="1" applyProtection="1">
      <alignment horizontal="center" vertical="center"/>
    </xf>
    <xf numFmtId="49" fontId="10" fillId="0" borderId="1" xfId="2" applyNumberFormat="1" applyFont="1" applyFill="1" applyBorder="1" applyAlignment="1" applyProtection="1">
      <alignment horizontal="center" vertical="center"/>
    </xf>
    <xf numFmtId="2" fontId="11" fillId="0" borderId="1" xfId="0" applyNumberFormat="1" applyFont="1" applyBorder="1" applyAlignment="1">
      <alignment horizontal="center" vertical="top"/>
    </xf>
    <xf numFmtId="164" fontId="12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2" fontId="10" fillId="0" borderId="0" xfId="0" applyNumberFormat="1" applyFont="1"/>
    <xf numFmtId="1" fontId="10" fillId="0" borderId="0" xfId="0" applyNumberFormat="1" applyFont="1"/>
    <xf numFmtId="2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</cellXfs>
  <cellStyles count="4">
    <cellStyle name="20% - Accent5" xfId="3" builtinId="46"/>
    <cellStyle name="Bad" xfId="2" builtinId="27"/>
    <cellStyle name="Good" xfId="1" builtinId="26"/>
    <cellStyle name="Normal" xfId="0" builtinId="0"/>
  </cellStyles>
  <dxfs count="27"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B0F0"/>
      </font>
      <fill>
        <patternFill>
          <bgColor rgb="FFFFFF00"/>
        </patternFill>
      </fill>
    </dxf>
    <dxf>
      <font>
        <b/>
        <i val="0"/>
        <color rgb="FF00B0F0"/>
      </font>
      <fill>
        <patternFill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B0F0"/>
      </font>
      <fill>
        <patternFill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B0F0"/>
      </font>
      <fill>
        <patternFill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B0F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5E8C-4977-4EC7-AFA4-C811280F149E}">
  <dimension ref="A1:AF122"/>
  <sheetViews>
    <sheetView tabSelected="1" workbookViewId="0">
      <selection activeCell="C28" sqref="C28"/>
    </sheetView>
  </sheetViews>
  <sheetFormatPr defaultRowHeight="15" x14ac:dyDescent="0.25"/>
  <cols>
    <col min="1" max="1" width="17.140625" style="37" customWidth="1"/>
    <col min="2" max="2" width="13.42578125" style="38" customWidth="1"/>
    <col min="3" max="3" width="13.140625" style="39" customWidth="1"/>
    <col min="4" max="4" width="12.140625" style="39" customWidth="1"/>
    <col min="5" max="5" width="21.140625" style="40" customWidth="1"/>
    <col min="6" max="6" width="21.140625" style="41" customWidth="1"/>
    <col min="7" max="7" width="18.42578125" style="40" customWidth="1"/>
    <col min="8" max="8" width="17.7109375" style="40" customWidth="1"/>
    <col min="9" max="9" width="17.7109375" style="42" customWidth="1"/>
    <col min="10" max="11" width="11.85546875" style="42" customWidth="1"/>
    <col min="12" max="12" width="23.140625" style="43" customWidth="1"/>
    <col min="13" max="13" width="18.85546875" style="43" customWidth="1"/>
    <col min="14" max="14" width="21.85546875" style="42" customWidth="1"/>
    <col min="15" max="15" width="9.42578125" style="42" hidden="1" customWidth="1"/>
    <col min="16" max="16" width="17" style="42" customWidth="1"/>
    <col min="17" max="17" width="14.7109375" style="42" customWidth="1"/>
    <col min="18" max="18" width="18.7109375" style="42" customWidth="1"/>
    <col min="19" max="19" width="18.140625" style="42" customWidth="1"/>
    <col min="20" max="20" width="17.7109375" style="42" customWidth="1"/>
    <col min="21" max="21" width="17" style="42" customWidth="1"/>
    <col min="22" max="22" width="17.140625" style="42" customWidth="1"/>
    <col min="23" max="23" width="17.28515625" style="42" customWidth="1"/>
    <col min="24" max="24" width="15.7109375" style="42" customWidth="1"/>
    <col min="25" max="25" width="14.42578125" style="42" customWidth="1"/>
    <col min="26" max="27" width="10.42578125" style="42" customWidth="1"/>
    <col min="28" max="28" width="13.42578125" style="42" customWidth="1"/>
    <col min="29" max="29" width="15.85546875" style="42" customWidth="1"/>
    <col min="30" max="30" width="17" style="42" customWidth="1"/>
    <col min="31" max="31" width="12.7109375" style="42" customWidth="1"/>
    <col min="32" max="32" width="18.7109375" style="42" customWidth="1"/>
  </cols>
  <sheetData>
    <row r="1" spans="1:32" ht="17.2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7" t="s">
        <v>31</v>
      </c>
    </row>
    <row r="2" spans="1:32" x14ac:dyDescent="0.25">
      <c r="A2" s="8" t="s">
        <v>32</v>
      </c>
      <c r="B2" s="9">
        <v>44991</v>
      </c>
      <c r="C2" s="10">
        <v>-32.7258</v>
      </c>
      <c r="D2" s="11">
        <v>18.670587999999999</v>
      </c>
      <c r="E2" s="12">
        <v>100</v>
      </c>
      <c r="F2" s="13" t="s">
        <v>33</v>
      </c>
      <c r="G2" s="14">
        <v>745</v>
      </c>
      <c r="H2" s="12" t="s">
        <v>34</v>
      </c>
      <c r="I2" s="12">
        <v>179.6</v>
      </c>
      <c r="J2" s="12" t="s">
        <v>34</v>
      </c>
      <c r="K2" s="15">
        <v>4.7450000000000001</v>
      </c>
      <c r="L2" s="13" t="s">
        <v>34</v>
      </c>
      <c r="M2" s="16">
        <f>SUM(N2:Y2)</f>
        <v>81.290999999999997</v>
      </c>
      <c r="N2" s="17">
        <v>11.67</v>
      </c>
      <c r="O2" s="17">
        <v>1.383</v>
      </c>
      <c r="P2" s="17">
        <v>4.5759999999999996</v>
      </c>
      <c r="Q2" s="17">
        <v>2.96</v>
      </c>
      <c r="R2" s="18">
        <v>31.286999999999999</v>
      </c>
      <c r="S2" s="18">
        <v>1.919</v>
      </c>
      <c r="T2" s="19">
        <v>3.1</v>
      </c>
      <c r="U2" s="18">
        <v>0.1</v>
      </c>
      <c r="V2" s="18">
        <v>24.111999999999998</v>
      </c>
      <c r="W2" s="18" t="s">
        <v>34</v>
      </c>
      <c r="X2" s="18">
        <v>0.13400000000000001</v>
      </c>
      <c r="Y2" s="18">
        <v>0.05</v>
      </c>
      <c r="Z2" s="20">
        <v>-11.79</v>
      </c>
      <c r="AA2" s="20">
        <v>0.83</v>
      </c>
      <c r="AB2" s="20">
        <v>-3.673</v>
      </c>
      <c r="AC2" s="20">
        <v>2.1000000000000001E-2</v>
      </c>
      <c r="AD2" s="19">
        <f>Z2-8*AB2</f>
        <v>17.594000000000001</v>
      </c>
      <c r="AE2" s="19" t="s">
        <v>34</v>
      </c>
      <c r="AF2" s="19" t="s">
        <v>34</v>
      </c>
    </row>
    <row r="3" spans="1:32" x14ac:dyDescent="0.25">
      <c r="A3" s="8" t="s">
        <v>35</v>
      </c>
      <c r="B3" s="9">
        <v>44991</v>
      </c>
      <c r="C3" s="21" t="s">
        <v>34</v>
      </c>
      <c r="D3" s="21" t="s">
        <v>34</v>
      </c>
      <c r="E3" s="22" t="s">
        <v>34</v>
      </c>
      <c r="F3" s="21" t="s">
        <v>34</v>
      </c>
      <c r="G3" s="22" t="s">
        <v>34</v>
      </c>
      <c r="H3" s="22" t="s">
        <v>34</v>
      </c>
      <c r="I3" s="12" t="s">
        <v>36</v>
      </c>
      <c r="J3" s="12" t="s">
        <v>34</v>
      </c>
      <c r="K3" s="15">
        <v>7.6870000000000003</v>
      </c>
      <c r="L3" s="13" t="s">
        <v>34</v>
      </c>
      <c r="M3" s="16">
        <f>SUM(N3:Y3)</f>
        <v>7.5359999999999987</v>
      </c>
      <c r="N3" s="17">
        <v>0.1</v>
      </c>
      <c r="O3" s="17">
        <v>0.1</v>
      </c>
      <c r="P3" s="17">
        <v>0.1</v>
      </c>
      <c r="Q3" s="17">
        <v>0.03</v>
      </c>
      <c r="R3" s="18">
        <v>2.206</v>
      </c>
      <c r="S3" s="18">
        <v>0.75</v>
      </c>
      <c r="T3" s="19">
        <v>4</v>
      </c>
      <c r="U3" s="18">
        <v>0.1</v>
      </c>
      <c r="V3" s="18">
        <v>0.05</v>
      </c>
      <c r="W3" s="18" t="s">
        <v>34</v>
      </c>
      <c r="X3" s="18">
        <v>0.05</v>
      </c>
      <c r="Y3" s="18">
        <v>0.05</v>
      </c>
      <c r="Z3" s="19" t="s">
        <v>34</v>
      </c>
      <c r="AA3" s="19" t="s">
        <v>34</v>
      </c>
      <c r="AB3" s="19" t="s">
        <v>34</v>
      </c>
      <c r="AC3" s="19" t="s">
        <v>34</v>
      </c>
      <c r="AD3" s="19" t="s">
        <v>34</v>
      </c>
      <c r="AE3" s="19" t="s">
        <v>34</v>
      </c>
      <c r="AF3" s="19" t="s">
        <v>34</v>
      </c>
    </row>
    <row r="4" spans="1:32" x14ac:dyDescent="0.25">
      <c r="A4" s="8" t="s">
        <v>37</v>
      </c>
      <c r="B4" s="9">
        <v>44992</v>
      </c>
      <c r="C4" s="23">
        <v>-32.681617000000003</v>
      </c>
      <c r="D4" s="23">
        <v>18.719000000000001</v>
      </c>
      <c r="E4" s="19">
        <v>100</v>
      </c>
      <c r="F4" s="16" t="s">
        <v>38</v>
      </c>
      <c r="G4" s="14">
        <v>145</v>
      </c>
      <c r="H4" s="12" t="s">
        <v>34</v>
      </c>
      <c r="I4" s="12">
        <v>1835</v>
      </c>
      <c r="J4" s="12" t="s">
        <v>34</v>
      </c>
      <c r="K4" s="15">
        <v>6.3029999999999999</v>
      </c>
      <c r="L4" s="13" t="s">
        <v>34</v>
      </c>
      <c r="M4" s="16">
        <f>SUM(N4:Y4)</f>
        <v>1023.1680000000001</v>
      </c>
      <c r="N4" s="17">
        <v>182.2</v>
      </c>
      <c r="O4" s="17">
        <v>3.9079999999999999</v>
      </c>
      <c r="P4" s="17">
        <v>49.03</v>
      </c>
      <c r="Q4" s="17">
        <v>74.86</v>
      </c>
      <c r="R4" s="18">
        <v>489.89400000000001</v>
      </c>
      <c r="S4" s="18">
        <v>174.12</v>
      </c>
      <c r="T4" s="19">
        <v>47.3</v>
      </c>
      <c r="U4" s="18">
        <v>0.1</v>
      </c>
      <c r="V4" s="18" t="s">
        <v>34</v>
      </c>
      <c r="W4" s="18" t="s">
        <v>34</v>
      </c>
      <c r="X4" s="18">
        <v>1.474</v>
      </c>
      <c r="Y4" s="18">
        <v>0.28199999999999997</v>
      </c>
      <c r="Z4" s="19">
        <v>-14.53</v>
      </c>
      <c r="AA4" s="20">
        <v>0.87</v>
      </c>
      <c r="AB4" s="19">
        <v>-4.4180000000000001</v>
      </c>
      <c r="AC4" s="20">
        <v>9.6000000000000002E-2</v>
      </c>
      <c r="AD4" s="19">
        <f>Z4-8*AB4</f>
        <v>20.814</v>
      </c>
      <c r="AE4" s="24">
        <v>0.5</v>
      </c>
      <c r="AF4" s="24">
        <v>0.06</v>
      </c>
    </row>
    <row r="5" spans="1:32" x14ac:dyDescent="0.25">
      <c r="A5" s="25" t="s">
        <v>39</v>
      </c>
      <c r="B5" s="9">
        <v>44992</v>
      </c>
      <c r="C5" s="23">
        <v>-32.708300000000001</v>
      </c>
      <c r="D5" s="23">
        <v>18.714400000000001</v>
      </c>
      <c r="E5" s="19">
        <v>48</v>
      </c>
      <c r="F5" s="16" t="s">
        <v>38</v>
      </c>
      <c r="G5" s="14">
        <v>104</v>
      </c>
      <c r="H5" s="12" t="s">
        <v>34</v>
      </c>
      <c r="I5" s="12">
        <v>556.6</v>
      </c>
      <c r="J5" s="12" t="s">
        <v>34</v>
      </c>
      <c r="K5" s="15">
        <v>6.944</v>
      </c>
      <c r="L5" s="13" t="s">
        <v>34</v>
      </c>
      <c r="M5" s="16">
        <f>SUM(N5:Y5)</f>
        <v>358.13600000000002</v>
      </c>
      <c r="N5" s="17">
        <v>34.53</v>
      </c>
      <c r="O5" s="17">
        <v>1.716</v>
      </c>
      <c r="P5" s="17">
        <v>10.3</v>
      </c>
      <c r="Q5" s="17">
        <v>62.4</v>
      </c>
      <c r="R5" s="18">
        <v>64.293999999999997</v>
      </c>
      <c r="S5" s="18">
        <v>52.566000000000003</v>
      </c>
      <c r="T5" s="19">
        <v>131.80000000000001</v>
      </c>
      <c r="U5" s="18">
        <v>0.1</v>
      </c>
      <c r="V5" s="18">
        <v>0.05</v>
      </c>
      <c r="W5" s="18" t="s">
        <v>34</v>
      </c>
      <c r="X5" s="18">
        <v>0.223</v>
      </c>
      <c r="Y5" s="18">
        <v>0.157</v>
      </c>
      <c r="Z5" s="19">
        <v>-9.0299999999999994</v>
      </c>
      <c r="AA5" s="20">
        <v>0.55000000000000004</v>
      </c>
      <c r="AB5" s="19">
        <v>-3.5649999999999999</v>
      </c>
      <c r="AC5" s="20">
        <v>9.5000000000000001E-2</v>
      </c>
      <c r="AD5" s="19">
        <f>Z5-8*AB5</f>
        <v>19.490000000000002</v>
      </c>
      <c r="AE5" s="24">
        <v>0.5</v>
      </c>
      <c r="AF5" s="24">
        <v>0.06</v>
      </c>
    </row>
    <row r="6" spans="1:32" x14ac:dyDescent="0.25">
      <c r="A6" s="25" t="s">
        <v>40</v>
      </c>
      <c r="B6" s="9">
        <v>44992</v>
      </c>
      <c r="C6" s="23">
        <v>-32.718862000000001</v>
      </c>
      <c r="D6" s="23">
        <v>18.711245000000002</v>
      </c>
      <c r="E6" s="19">
        <v>78</v>
      </c>
      <c r="F6" s="16" t="s">
        <v>38</v>
      </c>
      <c r="G6" s="14">
        <v>94.82</v>
      </c>
      <c r="H6" s="12" t="s">
        <v>34</v>
      </c>
      <c r="I6" s="19" t="s">
        <v>34</v>
      </c>
      <c r="J6" s="12" t="s">
        <v>34</v>
      </c>
      <c r="K6" s="19" t="s">
        <v>34</v>
      </c>
      <c r="L6" s="13" t="s">
        <v>34</v>
      </c>
      <c r="M6" s="16" t="s">
        <v>34</v>
      </c>
      <c r="N6" s="19" t="s">
        <v>34</v>
      </c>
      <c r="O6" s="19" t="s">
        <v>34</v>
      </c>
      <c r="P6" s="19" t="s">
        <v>34</v>
      </c>
      <c r="Q6" s="19" t="s">
        <v>34</v>
      </c>
      <c r="R6" s="19" t="s">
        <v>34</v>
      </c>
      <c r="S6" s="19" t="s">
        <v>34</v>
      </c>
      <c r="T6" s="19" t="s">
        <v>34</v>
      </c>
      <c r="U6" s="19" t="s">
        <v>34</v>
      </c>
      <c r="V6" s="19" t="s">
        <v>34</v>
      </c>
      <c r="W6" s="19" t="s">
        <v>34</v>
      </c>
      <c r="X6" s="19" t="s">
        <v>34</v>
      </c>
      <c r="Y6" s="19" t="s">
        <v>34</v>
      </c>
      <c r="Z6" s="19" t="s">
        <v>34</v>
      </c>
      <c r="AA6" s="19" t="s">
        <v>34</v>
      </c>
      <c r="AB6" s="19" t="s">
        <v>34</v>
      </c>
      <c r="AC6" s="19" t="s">
        <v>34</v>
      </c>
      <c r="AD6" s="19" t="s">
        <v>34</v>
      </c>
      <c r="AE6" s="19" t="s">
        <v>34</v>
      </c>
      <c r="AF6" s="19" t="s">
        <v>34</v>
      </c>
    </row>
    <row r="7" spans="1:32" x14ac:dyDescent="0.25">
      <c r="A7" s="25" t="s">
        <v>41</v>
      </c>
      <c r="B7" s="9">
        <v>44992</v>
      </c>
      <c r="C7" s="23">
        <v>-32.689799999999998</v>
      </c>
      <c r="D7" s="23">
        <v>18.692699999999999</v>
      </c>
      <c r="E7" s="19">
        <v>68</v>
      </c>
      <c r="F7" s="16" t="s">
        <v>38</v>
      </c>
      <c r="G7" s="14">
        <v>82.42</v>
      </c>
      <c r="H7" s="12" t="s">
        <v>34</v>
      </c>
      <c r="I7" s="19">
        <v>727.4</v>
      </c>
      <c r="J7" s="12" t="s">
        <v>34</v>
      </c>
      <c r="K7" s="19">
        <v>7.0030000000000001</v>
      </c>
      <c r="L7" s="13" t="s">
        <v>34</v>
      </c>
      <c r="M7" s="16" t="s">
        <v>34</v>
      </c>
      <c r="N7" s="19" t="s">
        <v>34</v>
      </c>
      <c r="O7" s="19" t="s">
        <v>34</v>
      </c>
      <c r="P7" s="19" t="s">
        <v>34</v>
      </c>
      <c r="Q7" s="19" t="s">
        <v>34</v>
      </c>
      <c r="R7" s="19" t="s">
        <v>34</v>
      </c>
      <c r="S7" s="19" t="s">
        <v>34</v>
      </c>
      <c r="T7" s="19" t="s">
        <v>34</v>
      </c>
      <c r="U7" s="19" t="s">
        <v>34</v>
      </c>
      <c r="V7" s="19" t="s">
        <v>34</v>
      </c>
      <c r="W7" s="19" t="s">
        <v>34</v>
      </c>
      <c r="X7" s="19" t="s">
        <v>34</v>
      </c>
      <c r="Y7" s="19" t="s">
        <v>34</v>
      </c>
      <c r="Z7" s="19">
        <v>-9.17</v>
      </c>
      <c r="AA7" s="20">
        <v>0.64</v>
      </c>
      <c r="AB7" s="19">
        <v>-2.6309999999999998</v>
      </c>
      <c r="AC7" s="20">
        <v>8.2000000000000003E-2</v>
      </c>
      <c r="AD7" s="19">
        <f t="shared" ref="AD7:AD31" si="0">Z7-8*AB7</f>
        <v>11.877999999999998</v>
      </c>
      <c r="AE7" s="19" t="s">
        <v>34</v>
      </c>
      <c r="AF7" s="19" t="s">
        <v>34</v>
      </c>
    </row>
    <row r="8" spans="1:32" x14ac:dyDescent="0.25">
      <c r="A8" s="25" t="s">
        <v>42</v>
      </c>
      <c r="B8" s="9">
        <v>44992</v>
      </c>
      <c r="C8" s="10">
        <v>-32.650621999999998</v>
      </c>
      <c r="D8" s="23">
        <v>18.697213000000001</v>
      </c>
      <c r="E8" s="19">
        <v>68</v>
      </c>
      <c r="F8" s="16" t="s">
        <v>38</v>
      </c>
      <c r="G8" s="14">
        <v>92</v>
      </c>
      <c r="H8" s="12" t="s">
        <v>34</v>
      </c>
      <c r="I8" s="12">
        <v>2462</v>
      </c>
      <c r="J8" s="12" t="s">
        <v>34</v>
      </c>
      <c r="K8" s="15">
        <v>6.952</v>
      </c>
      <c r="L8" s="13" t="s">
        <v>34</v>
      </c>
      <c r="M8" s="16">
        <f>SUM(N8:Y8)</f>
        <v>1400.7589999999996</v>
      </c>
      <c r="N8" s="17">
        <v>239</v>
      </c>
      <c r="O8" s="17">
        <v>7.5679999999999996</v>
      </c>
      <c r="P8" s="17">
        <v>71.099999999999994</v>
      </c>
      <c r="Q8" s="17">
        <v>120.6</v>
      </c>
      <c r="R8" s="18">
        <v>657.85900000000004</v>
      </c>
      <c r="S8" s="18">
        <v>112.212</v>
      </c>
      <c r="T8" s="19">
        <v>190.1</v>
      </c>
      <c r="U8" s="18">
        <v>0.1</v>
      </c>
      <c r="V8" s="18">
        <v>0.05</v>
      </c>
      <c r="W8" s="18" t="s">
        <v>34</v>
      </c>
      <c r="X8" s="18">
        <v>2.004</v>
      </c>
      <c r="Y8" s="18">
        <v>0.16600000000000001</v>
      </c>
      <c r="Z8" s="19">
        <v>-15.54</v>
      </c>
      <c r="AA8" s="20">
        <v>0.44</v>
      </c>
      <c r="AB8" s="19">
        <v>-4.0679999999999996</v>
      </c>
      <c r="AC8" s="20">
        <v>9.2999999999999999E-2</v>
      </c>
      <c r="AD8" s="19">
        <f t="shared" si="0"/>
        <v>17.003999999999998</v>
      </c>
      <c r="AE8" s="24">
        <v>0.5</v>
      </c>
      <c r="AF8" s="24">
        <v>0.06</v>
      </c>
    </row>
    <row r="9" spans="1:32" x14ac:dyDescent="0.25">
      <c r="A9" s="25" t="s">
        <v>43</v>
      </c>
      <c r="B9" s="9">
        <v>44992</v>
      </c>
      <c r="C9" s="23">
        <v>-32.617807980000002</v>
      </c>
      <c r="D9" s="23">
        <v>18.622138979999999</v>
      </c>
      <c r="E9" s="19">
        <v>83</v>
      </c>
      <c r="F9" s="16" t="s">
        <v>38</v>
      </c>
      <c r="G9" s="14">
        <v>94</v>
      </c>
      <c r="H9" s="12" t="s">
        <v>34</v>
      </c>
      <c r="I9" s="12">
        <v>455.4</v>
      </c>
      <c r="J9" s="12" t="s">
        <v>34</v>
      </c>
      <c r="K9" s="15">
        <v>6.7889999999999997</v>
      </c>
      <c r="L9" s="13" t="s">
        <v>34</v>
      </c>
      <c r="M9" s="16">
        <f>SUM(N9:Y9)</f>
        <v>224.83600000000001</v>
      </c>
      <c r="N9" s="17">
        <v>48.64</v>
      </c>
      <c r="O9" s="17">
        <v>0.1</v>
      </c>
      <c r="P9" s="17">
        <v>10.16</v>
      </c>
      <c r="Q9" s="17">
        <v>12.76</v>
      </c>
      <c r="R9" s="18">
        <v>114.122</v>
      </c>
      <c r="S9" s="18">
        <v>7.5250000000000004</v>
      </c>
      <c r="T9" s="19">
        <v>21.9</v>
      </c>
      <c r="U9" s="18">
        <v>0.1</v>
      </c>
      <c r="V9" s="18">
        <v>9.1300000000000008</v>
      </c>
      <c r="W9" s="18" t="s">
        <v>34</v>
      </c>
      <c r="X9" s="18">
        <v>0.34899999999999998</v>
      </c>
      <c r="Y9" s="18">
        <v>0.05</v>
      </c>
      <c r="Z9" s="19">
        <v>-12.53</v>
      </c>
      <c r="AA9" s="20">
        <v>0.99</v>
      </c>
      <c r="AB9" s="19">
        <v>-3.82</v>
      </c>
      <c r="AC9" s="20">
        <v>9.0999999999999998E-2</v>
      </c>
      <c r="AD9" s="19">
        <f t="shared" si="0"/>
        <v>18.03</v>
      </c>
      <c r="AE9" s="24">
        <v>0.5</v>
      </c>
      <c r="AF9" s="24">
        <v>0.06</v>
      </c>
    </row>
    <row r="10" spans="1:32" x14ac:dyDescent="0.25">
      <c r="A10" s="25" t="s">
        <v>44</v>
      </c>
      <c r="B10" s="9">
        <v>44992</v>
      </c>
      <c r="C10" s="23">
        <v>-32.608049010000002</v>
      </c>
      <c r="D10" s="23">
        <v>18.614502989999998</v>
      </c>
      <c r="E10" s="19">
        <v>78</v>
      </c>
      <c r="F10" s="16" t="s">
        <v>38</v>
      </c>
      <c r="G10" s="26">
        <v>101.75</v>
      </c>
      <c r="H10" s="12" t="s">
        <v>34</v>
      </c>
      <c r="I10" s="19" t="s">
        <v>34</v>
      </c>
      <c r="J10" s="12" t="s">
        <v>34</v>
      </c>
      <c r="K10" s="19" t="s">
        <v>34</v>
      </c>
      <c r="L10" s="13" t="s">
        <v>34</v>
      </c>
      <c r="M10" s="16" t="s">
        <v>34</v>
      </c>
      <c r="N10" s="19" t="s">
        <v>34</v>
      </c>
      <c r="O10" s="19" t="s">
        <v>34</v>
      </c>
      <c r="P10" s="19" t="s">
        <v>34</v>
      </c>
      <c r="Q10" s="19" t="s">
        <v>34</v>
      </c>
      <c r="R10" s="19" t="s">
        <v>34</v>
      </c>
      <c r="S10" s="19" t="s">
        <v>34</v>
      </c>
      <c r="T10" s="19" t="s">
        <v>34</v>
      </c>
      <c r="U10" s="19" t="s">
        <v>34</v>
      </c>
      <c r="V10" s="19" t="s">
        <v>34</v>
      </c>
      <c r="W10" s="19" t="s">
        <v>34</v>
      </c>
      <c r="X10" s="19" t="s">
        <v>34</v>
      </c>
      <c r="Y10" s="19" t="s">
        <v>34</v>
      </c>
      <c r="Z10" s="19" t="s">
        <v>34</v>
      </c>
      <c r="AA10" s="19" t="s">
        <v>34</v>
      </c>
      <c r="AB10" s="19" t="s">
        <v>34</v>
      </c>
      <c r="AC10" s="19" t="s">
        <v>34</v>
      </c>
      <c r="AD10" s="19" t="s">
        <v>34</v>
      </c>
      <c r="AE10" s="19" t="s">
        <v>34</v>
      </c>
      <c r="AF10" s="19" t="s">
        <v>34</v>
      </c>
    </row>
    <row r="11" spans="1:32" x14ac:dyDescent="0.25">
      <c r="A11" s="25" t="s">
        <v>45</v>
      </c>
      <c r="B11" s="9">
        <v>44992</v>
      </c>
      <c r="C11" s="23">
        <v>-32.603320019999998</v>
      </c>
      <c r="D11" s="23">
        <v>18.57616299</v>
      </c>
      <c r="E11" s="19" t="s">
        <v>34</v>
      </c>
      <c r="F11" s="27" t="s">
        <v>33</v>
      </c>
      <c r="G11" s="26">
        <v>147.28</v>
      </c>
      <c r="H11" s="12" t="s">
        <v>34</v>
      </c>
      <c r="I11" s="19">
        <v>727.6</v>
      </c>
      <c r="J11" s="12" t="s">
        <v>34</v>
      </c>
      <c r="K11" s="19">
        <v>7.2460000000000004</v>
      </c>
      <c r="L11" s="13" t="s">
        <v>34</v>
      </c>
      <c r="M11" s="16" t="s">
        <v>34</v>
      </c>
      <c r="N11" s="19" t="s">
        <v>34</v>
      </c>
      <c r="O11" s="19" t="s">
        <v>34</v>
      </c>
      <c r="P11" s="19" t="s">
        <v>34</v>
      </c>
      <c r="Q11" s="19" t="s">
        <v>34</v>
      </c>
      <c r="R11" s="19" t="s">
        <v>34</v>
      </c>
      <c r="S11" s="19" t="s">
        <v>34</v>
      </c>
      <c r="T11" s="19" t="s">
        <v>34</v>
      </c>
      <c r="U11" s="19" t="s">
        <v>34</v>
      </c>
      <c r="V11" s="19" t="s">
        <v>34</v>
      </c>
      <c r="W11" s="19" t="s">
        <v>34</v>
      </c>
      <c r="X11" s="19" t="s">
        <v>34</v>
      </c>
      <c r="Y11" s="19" t="s">
        <v>34</v>
      </c>
      <c r="Z11" s="19">
        <v>-13.06</v>
      </c>
      <c r="AA11" s="20">
        <v>0.96</v>
      </c>
      <c r="AB11" s="19">
        <v>-3.629</v>
      </c>
      <c r="AC11" s="20">
        <v>9.1999999999999998E-2</v>
      </c>
      <c r="AD11" s="19">
        <f>Z11-8*AB11</f>
        <v>15.972</v>
      </c>
      <c r="AE11" s="19" t="s">
        <v>34</v>
      </c>
      <c r="AF11" s="19" t="s">
        <v>34</v>
      </c>
    </row>
    <row r="12" spans="1:32" x14ac:dyDescent="0.25">
      <c r="A12" s="25" t="s">
        <v>46</v>
      </c>
      <c r="B12" s="9">
        <v>44992</v>
      </c>
      <c r="C12" s="23">
        <v>-32.602184020000003</v>
      </c>
      <c r="D12" s="23">
        <v>18.564984970000001</v>
      </c>
      <c r="E12" s="19" t="s">
        <v>34</v>
      </c>
      <c r="F12" s="27" t="s">
        <v>33</v>
      </c>
      <c r="G12" s="26">
        <v>194</v>
      </c>
      <c r="H12" s="12" t="s">
        <v>34</v>
      </c>
      <c r="I12" s="12">
        <v>291.10000000000002</v>
      </c>
      <c r="J12" s="12" t="s">
        <v>34</v>
      </c>
      <c r="K12" s="15">
        <v>5.6210000000000004</v>
      </c>
      <c r="L12" s="13" t="s">
        <v>34</v>
      </c>
      <c r="M12" s="16">
        <f>SUM(N12:Y12)</f>
        <v>140.2148</v>
      </c>
      <c r="N12" s="17">
        <v>36.479999999999997</v>
      </c>
      <c r="O12" s="17">
        <v>0.54679999999999995</v>
      </c>
      <c r="P12" s="17">
        <v>4.8769999999999998</v>
      </c>
      <c r="Q12" s="17">
        <v>2.4159999999999999</v>
      </c>
      <c r="R12" s="18">
        <v>78.305999999999997</v>
      </c>
      <c r="S12" s="18">
        <v>8.1199999999999992</v>
      </c>
      <c r="T12" s="19">
        <v>5.4</v>
      </c>
      <c r="U12" s="18">
        <v>0.1</v>
      </c>
      <c r="V12" s="18">
        <v>3.6880000000000002</v>
      </c>
      <c r="W12" s="18" t="s">
        <v>34</v>
      </c>
      <c r="X12" s="18">
        <v>0.23100000000000001</v>
      </c>
      <c r="Y12" s="18">
        <v>0.05</v>
      </c>
      <c r="Z12" s="19">
        <v>-15.3</v>
      </c>
      <c r="AA12" s="20">
        <v>0.28000000000000003</v>
      </c>
      <c r="AB12" s="19">
        <v>-4.282</v>
      </c>
      <c r="AC12" s="20">
        <v>4.8000000000000001E-2</v>
      </c>
      <c r="AD12" s="19">
        <f t="shared" si="0"/>
        <v>18.956</v>
      </c>
      <c r="AE12" s="24">
        <v>0.5</v>
      </c>
      <c r="AF12" s="24">
        <v>0.06</v>
      </c>
    </row>
    <row r="13" spans="1:32" x14ac:dyDescent="0.25">
      <c r="A13" s="8" t="s">
        <v>47</v>
      </c>
      <c r="B13" s="9">
        <v>44991</v>
      </c>
      <c r="C13" s="23">
        <v>-32.336799999999997</v>
      </c>
      <c r="D13" s="23">
        <v>18.391400000000001</v>
      </c>
      <c r="E13" s="19">
        <v>116</v>
      </c>
      <c r="F13" s="16" t="s">
        <v>38</v>
      </c>
      <c r="G13" s="14">
        <v>96</v>
      </c>
      <c r="H13" s="12" t="s">
        <v>34</v>
      </c>
      <c r="I13" s="12">
        <v>2904</v>
      </c>
      <c r="J13" s="12" t="s">
        <v>34</v>
      </c>
      <c r="K13" s="15">
        <v>6.66</v>
      </c>
      <c r="L13" s="13" t="s">
        <v>34</v>
      </c>
      <c r="M13" s="16">
        <f>SUM(N13:Y13)</f>
        <v>1510.4799999999998</v>
      </c>
      <c r="N13" s="17">
        <v>385.8</v>
      </c>
      <c r="O13" s="17">
        <v>4.5890000000000004</v>
      </c>
      <c r="P13" s="17">
        <v>61.52</v>
      </c>
      <c r="Q13" s="17">
        <v>27.04</v>
      </c>
      <c r="R13" s="18">
        <v>900.65</v>
      </c>
      <c r="S13" s="18">
        <v>96.929000000000002</v>
      </c>
      <c r="T13" s="19">
        <v>12.6</v>
      </c>
      <c r="U13" s="18">
        <v>0.39500000000000002</v>
      </c>
      <c r="V13" s="18">
        <v>18.379000000000001</v>
      </c>
      <c r="W13" s="18" t="s">
        <v>34</v>
      </c>
      <c r="X13" s="18">
        <v>2.528</v>
      </c>
      <c r="Y13" s="18">
        <v>0.05</v>
      </c>
      <c r="Z13" s="19">
        <v>-16.940000000000001</v>
      </c>
      <c r="AA13" s="20">
        <v>0.16</v>
      </c>
      <c r="AB13" s="19">
        <v>-4.3369999999999997</v>
      </c>
      <c r="AC13" s="20">
        <v>5.6000000000000001E-2</v>
      </c>
      <c r="AD13" s="19">
        <f t="shared" si="0"/>
        <v>17.755999999999997</v>
      </c>
      <c r="AE13" s="24">
        <v>0.5</v>
      </c>
      <c r="AF13" s="24">
        <v>0.06</v>
      </c>
    </row>
    <row r="14" spans="1:32" x14ac:dyDescent="0.25">
      <c r="A14" s="8" t="s">
        <v>48</v>
      </c>
      <c r="B14" s="9">
        <v>44993</v>
      </c>
      <c r="C14" s="10">
        <v>-32.471789999999999</v>
      </c>
      <c r="D14" s="23">
        <v>18.526900000000001</v>
      </c>
      <c r="E14" s="19">
        <v>33</v>
      </c>
      <c r="F14" s="16" t="s">
        <v>49</v>
      </c>
      <c r="G14" s="14">
        <v>7</v>
      </c>
      <c r="H14" s="12" t="s">
        <v>34</v>
      </c>
      <c r="I14" s="12">
        <v>2380</v>
      </c>
      <c r="J14" s="12" t="s">
        <v>34</v>
      </c>
      <c r="K14" s="15">
        <v>6.4119999999999999</v>
      </c>
      <c r="L14" s="13" t="s">
        <v>34</v>
      </c>
      <c r="M14" s="16">
        <f>SUM(N14:Y14)</f>
        <v>1309.1730000000002</v>
      </c>
      <c r="N14" s="17">
        <v>299.3</v>
      </c>
      <c r="O14" s="17">
        <v>13.08</v>
      </c>
      <c r="P14" s="17">
        <v>55.6</v>
      </c>
      <c r="Q14" s="17">
        <v>42.32</v>
      </c>
      <c r="R14" s="18">
        <v>614.45600000000002</v>
      </c>
      <c r="S14" s="18">
        <v>150.98599999999999</v>
      </c>
      <c r="T14" s="19">
        <v>52.9</v>
      </c>
      <c r="U14" s="18">
        <v>0.1</v>
      </c>
      <c r="V14" s="18">
        <v>78.603999999999999</v>
      </c>
      <c r="W14" s="18" t="s">
        <v>34</v>
      </c>
      <c r="X14" s="18">
        <v>1.7769999999999999</v>
      </c>
      <c r="Y14" s="18">
        <v>0.05</v>
      </c>
      <c r="Z14" s="19">
        <v>-7.29</v>
      </c>
      <c r="AA14" s="20">
        <v>0.45</v>
      </c>
      <c r="AB14" s="19">
        <v>-2.0760000000000001</v>
      </c>
      <c r="AC14" s="20">
        <v>1.7000000000000001E-2</v>
      </c>
      <c r="AD14" s="19">
        <f t="shared" si="0"/>
        <v>9.3180000000000014</v>
      </c>
      <c r="AE14" s="24">
        <v>0.11</v>
      </c>
      <c r="AF14" s="28">
        <v>0.11</v>
      </c>
    </row>
    <row r="15" spans="1:32" x14ac:dyDescent="0.25">
      <c r="A15" s="25" t="s">
        <v>50</v>
      </c>
      <c r="B15" s="9">
        <v>44993</v>
      </c>
      <c r="C15" s="23">
        <v>-32.349299999999999</v>
      </c>
      <c r="D15" s="23">
        <v>18.4482</v>
      </c>
      <c r="E15" s="19">
        <v>3</v>
      </c>
      <c r="F15" s="16" t="s">
        <v>49</v>
      </c>
      <c r="G15" s="19">
        <v>4.45</v>
      </c>
      <c r="H15" s="12" t="s">
        <v>34</v>
      </c>
      <c r="I15" s="12">
        <v>513</v>
      </c>
      <c r="J15" s="12" t="s">
        <v>34</v>
      </c>
      <c r="K15" s="15">
        <v>5.3170000000000002</v>
      </c>
      <c r="L15" s="13" t="s">
        <v>34</v>
      </c>
      <c r="M15" s="16">
        <f>SUM(N15:Y15)</f>
        <v>252.715</v>
      </c>
      <c r="N15" s="17">
        <v>55.88</v>
      </c>
      <c r="O15" s="17">
        <v>2.4020000000000001</v>
      </c>
      <c r="P15" s="17">
        <v>11.77</v>
      </c>
      <c r="Q15" s="17">
        <v>6.92</v>
      </c>
      <c r="R15" s="18">
        <v>135.30099999999999</v>
      </c>
      <c r="S15" s="18">
        <v>11.177</v>
      </c>
      <c r="T15" s="19">
        <v>5.3</v>
      </c>
      <c r="U15" s="18">
        <v>0.1</v>
      </c>
      <c r="V15" s="18">
        <v>23.352</v>
      </c>
      <c r="W15" s="18" t="s">
        <v>34</v>
      </c>
      <c r="X15" s="18">
        <v>0.42099999999999999</v>
      </c>
      <c r="Y15" s="18">
        <v>9.1999999999999998E-2</v>
      </c>
      <c r="Z15" s="19">
        <v>-13.79</v>
      </c>
      <c r="AA15" s="20">
        <v>0.6</v>
      </c>
      <c r="AB15" s="19">
        <v>-3.3359999999999999</v>
      </c>
      <c r="AC15" s="20">
        <v>8.2000000000000003E-2</v>
      </c>
      <c r="AD15" s="19">
        <f t="shared" si="0"/>
        <v>12.898</v>
      </c>
      <c r="AE15" s="19" t="s">
        <v>34</v>
      </c>
      <c r="AF15" s="19" t="s">
        <v>34</v>
      </c>
    </row>
    <row r="16" spans="1:32" x14ac:dyDescent="0.25">
      <c r="A16" s="25" t="s">
        <v>51</v>
      </c>
      <c r="B16" s="9">
        <v>44993</v>
      </c>
      <c r="C16" s="23">
        <v>-32.3491</v>
      </c>
      <c r="D16" s="23">
        <v>18.448499999999999</v>
      </c>
      <c r="E16" s="19">
        <v>3</v>
      </c>
      <c r="F16" s="16" t="s">
        <v>49</v>
      </c>
      <c r="G16" s="14">
        <v>7</v>
      </c>
      <c r="H16" s="12" t="s">
        <v>34</v>
      </c>
      <c r="I16" s="19">
        <v>805.6</v>
      </c>
      <c r="J16" s="12" t="s">
        <v>34</v>
      </c>
      <c r="K16" s="19">
        <v>5.5380000000000003</v>
      </c>
      <c r="L16" s="13" t="s">
        <v>34</v>
      </c>
      <c r="M16" s="16" t="s">
        <v>34</v>
      </c>
      <c r="N16" s="19" t="s">
        <v>34</v>
      </c>
      <c r="O16" s="19" t="s">
        <v>34</v>
      </c>
      <c r="P16" s="19" t="s">
        <v>34</v>
      </c>
      <c r="Q16" s="19" t="s">
        <v>34</v>
      </c>
      <c r="R16" s="19" t="s">
        <v>34</v>
      </c>
      <c r="S16" s="19" t="s">
        <v>34</v>
      </c>
      <c r="T16" s="19" t="s">
        <v>34</v>
      </c>
      <c r="U16" s="19" t="s">
        <v>34</v>
      </c>
      <c r="V16" s="19" t="s">
        <v>34</v>
      </c>
      <c r="W16" s="19" t="s">
        <v>34</v>
      </c>
      <c r="X16" s="19" t="s">
        <v>34</v>
      </c>
      <c r="Y16" s="19" t="s">
        <v>34</v>
      </c>
      <c r="Z16" s="19">
        <v>-13.74</v>
      </c>
      <c r="AA16" s="20">
        <v>0.45</v>
      </c>
      <c r="AB16" s="19">
        <v>-4.0149999999999997</v>
      </c>
      <c r="AC16" s="20">
        <v>8.7999999999999995E-2</v>
      </c>
      <c r="AD16" s="19">
        <f t="shared" si="0"/>
        <v>18.379999999999995</v>
      </c>
      <c r="AE16" s="24">
        <v>0.5</v>
      </c>
      <c r="AF16" s="24">
        <v>0.06</v>
      </c>
    </row>
    <row r="17" spans="1:32" x14ac:dyDescent="0.25">
      <c r="A17" s="8" t="s">
        <v>52</v>
      </c>
      <c r="B17" s="9">
        <v>44993</v>
      </c>
      <c r="C17" s="23">
        <v>-32.36206</v>
      </c>
      <c r="D17" s="23">
        <v>18.455673999999998</v>
      </c>
      <c r="E17" s="18" t="s">
        <v>34</v>
      </c>
      <c r="F17" s="16" t="s">
        <v>49</v>
      </c>
      <c r="G17" s="14">
        <v>15</v>
      </c>
      <c r="H17" s="12" t="s">
        <v>34</v>
      </c>
      <c r="I17" s="12">
        <v>752.6</v>
      </c>
      <c r="J17" s="12" t="s">
        <v>34</v>
      </c>
      <c r="K17" s="15">
        <v>4.5419999999999998</v>
      </c>
      <c r="L17" s="13" t="s">
        <v>34</v>
      </c>
      <c r="M17" s="16">
        <f>SUM(N17:Y17)</f>
        <v>398.06400000000002</v>
      </c>
      <c r="N17" s="17">
        <v>78.790000000000006</v>
      </c>
      <c r="O17" s="17">
        <v>3.242</v>
      </c>
      <c r="P17" s="17">
        <v>20.89</v>
      </c>
      <c r="Q17" s="17">
        <v>11.76</v>
      </c>
      <c r="R17" s="18">
        <v>182.98599999999999</v>
      </c>
      <c r="S17" s="18">
        <v>5.8520000000000003</v>
      </c>
      <c r="T17" s="19">
        <v>4</v>
      </c>
      <c r="U17" s="18">
        <v>0.1</v>
      </c>
      <c r="V17" s="18">
        <v>89.706999999999994</v>
      </c>
      <c r="W17" s="18" t="s">
        <v>34</v>
      </c>
      <c r="X17" s="18">
        <v>0.53100000000000003</v>
      </c>
      <c r="Y17" s="18">
        <v>0.20599999999999999</v>
      </c>
      <c r="Z17" s="19">
        <v>-12.29</v>
      </c>
      <c r="AA17" s="20">
        <v>0.8</v>
      </c>
      <c r="AB17" s="19">
        <v>-3.4769999999999999</v>
      </c>
      <c r="AC17" s="20">
        <v>9.4E-2</v>
      </c>
      <c r="AD17" s="19">
        <f t="shared" si="0"/>
        <v>15.526</v>
      </c>
      <c r="AE17" s="24">
        <v>0.9</v>
      </c>
      <c r="AF17" s="28">
        <v>0.08</v>
      </c>
    </row>
    <row r="18" spans="1:32" x14ac:dyDescent="0.25">
      <c r="A18" s="8" t="s">
        <v>53</v>
      </c>
      <c r="B18" s="9">
        <v>45172</v>
      </c>
      <c r="C18" s="23">
        <v>-32.502389999999998</v>
      </c>
      <c r="D18" s="23">
        <v>18.563258000000001</v>
      </c>
      <c r="E18" s="19">
        <v>22</v>
      </c>
      <c r="F18" s="16" t="s">
        <v>49</v>
      </c>
      <c r="G18" s="14">
        <v>20</v>
      </c>
      <c r="H18" s="12" t="s">
        <v>34</v>
      </c>
      <c r="I18" s="12">
        <v>589.29999999999995</v>
      </c>
      <c r="J18" s="12" t="s">
        <v>34</v>
      </c>
      <c r="K18" s="15">
        <v>5.8710000000000004</v>
      </c>
      <c r="L18" s="13" t="s">
        <v>34</v>
      </c>
      <c r="M18" s="16">
        <f>SUM(N18:Y18)</f>
        <v>319.18600000000009</v>
      </c>
      <c r="N18" s="17">
        <v>65.040000000000006</v>
      </c>
      <c r="O18" s="17">
        <v>2.2879999999999998</v>
      </c>
      <c r="P18" s="17">
        <v>16.39</v>
      </c>
      <c r="Q18" s="17">
        <v>13.07</v>
      </c>
      <c r="R18" s="18">
        <v>134.13900000000001</v>
      </c>
      <c r="S18" s="18">
        <v>39.542999999999999</v>
      </c>
      <c r="T18" s="19">
        <v>14.6</v>
      </c>
      <c r="U18" s="18">
        <v>0.1</v>
      </c>
      <c r="V18" s="18">
        <v>33.545999999999999</v>
      </c>
      <c r="W18" s="18" t="s">
        <v>34</v>
      </c>
      <c r="X18" s="18">
        <v>0.42</v>
      </c>
      <c r="Y18" s="18">
        <v>0.05</v>
      </c>
      <c r="Z18" s="19">
        <v>-16.989999999999998</v>
      </c>
      <c r="AA18" s="20">
        <v>0.21</v>
      </c>
      <c r="AB18" s="19">
        <v>-3.8319999999999999</v>
      </c>
      <c r="AC18" s="20">
        <v>5.2999999999999999E-2</v>
      </c>
      <c r="AD18" s="19">
        <f t="shared" si="0"/>
        <v>13.666</v>
      </c>
      <c r="AE18" s="24">
        <v>0.5</v>
      </c>
      <c r="AF18" s="24">
        <v>0.06</v>
      </c>
    </row>
    <row r="19" spans="1:32" x14ac:dyDescent="0.25">
      <c r="A19" s="8" t="s">
        <v>54</v>
      </c>
      <c r="B19" s="9">
        <v>44992</v>
      </c>
      <c r="C19" s="29">
        <v>-32.212499000000001</v>
      </c>
      <c r="D19" s="23">
        <v>18.489000000000001</v>
      </c>
      <c r="E19" s="19">
        <v>50</v>
      </c>
      <c r="F19" s="27" t="s">
        <v>33</v>
      </c>
      <c r="G19" s="14">
        <v>83</v>
      </c>
      <c r="H19" s="12" t="s">
        <v>34</v>
      </c>
      <c r="I19" s="12">
        <v>1088</v>
      </c>
      <c r="J19" s="12" t="s">
        <v>34</v>
      </c>
      <c r="K19" s="15">
        <v>6.2839999999999998</v>
      </c>
      <c r="L19" s="13" t="s">
        <v>34</v>
      </c>
      <c r="M19" s="16">
        <f>SUM(N19:Y19)</f>
        <v>549.65300000000002</v>
      </c>
      <c r="N19" s="17">
        <v>135.6</v>
      </c>
      <c r="O19" s="17">
        <v>2.3029999999999999</v>
      </c>
      <c r="P19" s="17">
        <v>25.58</v>
      </c>
      <c r="Q19" s="17">
        <v>11.44</v>
      </c>
      <c r="R19" s="18">
        <v>335.11099999999999</v>
      </c>
      <c r="S19" s="18">
        <v>24.099</v>
      </c>
      <c r="T19" s="19">
        <v>12.4</v>
      </c>
      <c r="U19" s="18">
        <v>0.1</v>
      </c>
      <c r="V19" s="18">
        <v>1.9670000000000001</v>
      </c>
      <c r="W19" s="18" t="s">
        <v>34</v>
      </c>
      <c r="X19" s="18">
        <v>0.94899999999999995</v>
      </c>
      <c r="Y19" s="18">
        <v>0.104</v>
      </c>
      <c r="Z19" s="19">
        <v>-16.059999999999999</v>
      </c>
      <c r="AA19" s="20">
        <v>0.47</v>
      </c>
      <c r="AB19" s="19">
        <v>-4.7560000000000002</v>
      </c>
      <c r="AC19" s="20">
        <v>5.6000000000000001E-2</v>
      </c>
      <c r="AD19" s="19">
        <f t="shared" si="0"/>
        <v>21.988000000000003</v>
      </c>
      <c r="AE19" s="24">
        <v>0.5</v>
      </c>
      <c r="AF19" s="24">
        <v>0.06</v>
      </c>
    </row>
    <row r="20" spans="1:32" x14ac:dyDescent="0.25">
      <c r="A20" s="25" t="s">
        <v>55</v>
      </c>
      <c r="B20" s="9">
        <v>44992</v>
      </c>
      <c r="C20" s="29">
        <v>-32.235922000000002</v>
      </c>
      <c r="D20" s="23">
        <v>18.504200000000001</v>
      </c>
      <c r="E20" s="19">
        <v>180</v>
      </c>
      <c r="F20" s="27" t="s">
        <v>33</v>
      </c>
      <c r="G20" s="14">
        <v>87</v>
      </c>
      <c r="H20" s="12" t="s">
        <v>34</v>
      </c>
      <c r="I20" s="19">
        <v>2254</v>
      </c>
      <c r="J20" s="12" t="s">
        <v>34</v>
      </c>
      <c r="K20" s="19">
        <v>5.4210000000000003</v>
      </c>
      <c r="L20" s="13" t="s">
        <v>34</v>
      </c>
      <c r="M20" s="16" t="s">
        <v>34</v>
      </c>
      <c r="N20" s="19" t="s">
        <v>34</v>
      </c>
      <c r="O20" s="19" t="s">
        <v>34</v>
      </c>
      <c r="P20" s="19" t="s">
        <v>34</v>
      </c>
      <c r="Q20" s="19" t="s">
        <v>34</v>
      </c>
      <c r="R20" s="19" t="s">
        <v>34</v>
      </c>
      <c r="S20" s="19" t="s">
        <v>34</v>
      </c>
      <c r="T20" s="19" t="s">
        <v>34</v>
      </c>
      <c r="U20" s="19" t="s">
        <v>34</v>
      </c>
      <c r="V20" s="19" t="s">
        <v>34</v>
      </c>
      <c r="W20" s="19" t="s">
        <v>34</v>
      </c>
      <c r="X20" s="19" t="s">
        <v>34</v>
      </c>
      <c r="Y20" s="19" t="s">
        <v>34</v>
      </c>
      <c r="Z20" s="19">
        <v>-17.420000000000002</v>
      </c>
      <c r="AA20" s="20">
        <v>0.41</v>
      </c>
      <c r="AB20" s="19">
        <v>-4.2759999999999998</v>
      </c>
      <c r="AC20" s="20">
        <v>3.6999999999999998E-2</v>
      </c>
      <c r="AD20" s="19">
        <f t="shared" si="0"/>
        <v>16.787999999999997</v>
      </c>
      <c r="AE20" s="24">
        <v>0.5</v>
      </c>
      <c r="AF20" s="24">
        <v>0.06</v>
      </c>
    </row>
    <row r="21" spans="1:32" x14ac:dyDescent="0.25">
      <c r="A21" s="25" t="s">
        <v>56</v>
      </c>
      <c r="B21" s="9">
        <v>44993</v>
      </c>
      <c r="C21" s="23">
        <v>-32.291800000000002</v>
      </c>
      <c r="D21" s="23">
        <v>18.5365</v>
      </c>
      <c r="E21" s="19" t="s">
        <v>34</v>
      </c>
      <c r="F21" s="27" t="s">
        <v>33</v>
      </c>
      <c r="G21" s="14">
        <v>246</v>
      </c>
      <c r="H21" s="12" t="s">
        <v>34</v>
      </c>
      <c r="I21" s="19">
        <v>738.1</v>
      </c>
      <c r="J21" s="12" t="s">
        <v>34</v>
      </c>
      <c r="K21" s="19">
        <v>5.8319999999999999</v>
      </c>
      <c r="L21" s="13" t="s">
        <v>34</v>
      </c>
      <c r="M21" s="16">
        <f>SUM(N21:Y21)</f>
        <v>373.73860000000008</v>
      </c>
      <c r="N21" s="17">
        <v>96.11</v>
      </c>
      <c r="O21" s="17">
        <v>0.69059999999999999</v>
      </c>
      <c r="P21" s="17">
        <v>14.82</v>
      </c>
      <c r="Q21" s="17">
        <v>7.5990000000000002</v>
      </c>
      <c r="R21" s="18">
        <v>202.334</v>
      </c>
      <c r="S21" s="18">
        <v>23.832999999999998</v>
      </c>
      <c r="T21" s="19">
        <v>6.8</v>
      </c>
      <c r="U21" s="18">
        <v>0.1</v>
      </c>
      <c r="V21" s="18">
        <v>20.812000000000001</v>
      </c>
      <c r="W21" s="18" t="s">
        <v>34</v>
      </c>
      <c r="X21" s="18">
        <v>0.59</v>
      </c>
      <c r="Y21" s="18">
        <v>0.05</v>
      </c>
      <c r="Z21" s="19">
        <v>-13.99</v>
      </c>
      <c r="AA21" s="20">
        <v>0.93</v>
      </c>
      <c r="AB21" s="19">
        <v>-4.0880000000000001</v>
      </c>
      <c r="AC21" s="20">
        <v>8.8999999999999996E-2</v>
      </c>
      <c r="AD21" s="19">
        <f t="shared" si="0"/>
        <v>18.713999999999999</v>
      </c>
      <c r="AE21" s="24">
        <v>0.5</v>
      </c>
      <c r="AF21" s="24">
        <v>0.06</v>
      </c>
    </row>
    <row r="22" spans="1:32" x14ac:dyDescent="0.25">
      <c r="A22" s="25" t="s">
        <v>57</v>
      </c>
      <c r="B22" s="9">
        <v>44993</v>
      </c>
      <c r="C22" s="23">
        <v>-32.2898</v>
      </c>
      <c r="D22" s="23">
        <v>18.5654</v>
      </c>
      <c r="E22" s="19" t="s">
        <v>34</v>
      </c>
      <c r="F22" s="27" t="s">
        <v>33</v>
      </c>
      <c r="G22" s="14">
        <v>99</v>
      </c>
      <c r="H22" s="12" t="s">
        <v>34</v>
      </c>
      <c r="I22" s="19">
        <v>1263</v>
      </c>
      <c r="J22" s="12" t="s">
        <v>34</v>
      </c>
      <c r="K22" s="19">
        <v>5.7320000000000002</v>
      </c>
      <c r="L22" s="13" t="s">
        <v>34</v>
      </c>
      <c r="M22" s="16" t="s">
        <v>34</v>
      </c>
      <c r="N22" s="19" t="s">
        <v>34</v>
      </c>
      <c r="O22" s="19" t="s">
        <v>34</v>
      </c>
      <c r="P22" s="19" t="s">
        <v>34</v>
      </c>
      <c r="Q22" s="19" t="s">
        <v>34</v>
      </c>
      <c r="R22" s="19" t="s">
        <v>34</v>
      </c>
      <c r="S22" s="19" t="s">
        <v>34</v>
      </c>
      <c r="T22" s="19" t="s">
        <v>34</v>
      </c>
      <c r="U22" s="19" t="s">
        <v>34</v>
      </c>
      <c r="V22" s="19" t="s">
        <v>34</v>
      </c>
      <c r="W22" s="19" t="s">
        <v>34</v>
      </c>
      <c r="X22" s="19" t="s">
        <v>34</v>
      </c>
      <c r="Y22" s="19" t="s">
        <v>34</v>
      </c>
      <c r="Z22" s="19">
        <v>-14</v>
      </c>
      <c r="AA22" s="20">
        <v>0.55000000000000004</v>
      </c>
      <c r="AB22" s="19">
        <v>-4.0629999999999997</v>
      </c>
      <c r="AC22" s="20">
        <v>5.1999999999999998E-2</v>
      </c>
      <c r="AD22" s="19">
        <f t="shared" si="0"/>
        <v>18.503999999999998</v>
      </c>
      <c r="AE22" s="24">
        <v>0.5</v>
      </c>
      <c r="AF22" s="24">
        <v>0.06</v>
      </c>
    </row>
    <row r="23" spans="1:32" x14ac:dyDescent="0.25">
      <c r="A23" s="8" t="s">
        <v>58</v>
      </c>
      <c r="B23" s="9">
        <v>44993</v>
      </c>
      <c r="C23" s="23">
        <v>-32.298543000000002</v>
      </c>
      <c r="D23" s="23">
        <v>18.615545999999998</v>
      </c>
      <c r="E23" s="14">
        <v>98</v>
      </c>
      <c r="F23" s="27" t="s">
        <v>33</v>
      </c>
      <c r="G23" s="14">
        <v>113</v>
      </c>
      <c r="H23" s="12" t="s">
        <v>34</v>
      </c>
      <c r="I23" s="12">
        <v>3352</v>
      </c>
      <c r="J23" s="12" t="s">
        <v>34</v>
      </c>
      <c r="K23" s="15">
        <v>5.6619999999999999</v>
      </c>
      <c r="L23" s="13" t="s">
        <v>34</v>
      </c>
      <c r="M23" s="16">
        <f>SUM(N23:Y23)</f>
        <v>1758.0459999999998</v>
      </c>
      <c r="N23" s="17">
        <v>405.8</v>
      </c>
      <c r="O23" s="17">
        <v>6.1189999999999998</v>
      </c>
      <c r="P23" s="17">
        <v>96.88</v>
      </c>
      <c r="Q23" s="17">
        <v>38.200000000000003</v>
      </c>
      <c r="R23" s="18">
        <v>1044.3900000000001</v>
      </c>
      <c r="S23" s="18">
        <v>84.165999999999997</v>
      </c>
      <c r="T23" s="19">
        <v>13.6</v>
      </c>
      <c r="U23" s="18">
        <v>0.1</v>
      </c>
      <c r="V23" s="18">
        <v>65.906999999999996</v>
      </c>
      <c r="W23" s="18" t="s">
        <v>34</v>
      </c>
      <c r="X23" s="18">
        <v>2.8340000000000001</v>
      </c>
      <c r="Y23" s="18">
        <v>0.05</v>
      </c>
      <c r="Z23" s="19">
        <v>-16.78</v>
      </c>
      <c r="AA23" s="20">
        <v>0.17</v>
      </c>
      <c r="AB23" s="19">
        <v>-4.2130000000000001</v>
      </c>
      <c r="AC23" s="20">
        <v>5.5E-2</v>
      </c>
      <c r="AD23" s="19">
        <f t="shared" si="0"/>
        <v>16.923999999999999</v>
      </c>
      <c r="AE23" s="24">
        <v>0.5</v>
      </c>
      <c r="AF23" s="24">
        <v>0.06</v>
      </c>
    </row>
    <row r="24" spans="1:32" x14ac:dyDescent="0.25">
      <c r="A24" s="8" t="s">
        <v>59</v>
      </c>
      <c r="B24" s="9">
        <v>44993</v>
      </c>
      <c r="C24" s="23">
        <v>-32.296385000000001</v>
      </c>
      <c r="D24" s="23">
        <v>18.605551999999999</v>
      </c>
      <c r="E24" s="19">
        <v>46</v>
      </c>
      <c r="F24" s="27" t="s">
        <v>33</v>
      </c>
      <c r="G24" s="14">
        <v>110</v>
      </c>
      <c r="H24" s="12" t="s">
        <v>34</v>
      </c>
      <c r="I24" s="12">
        <v>1360</v>
      </c>
      <c r="J24" s="12" t="s">
        <v>34</v>
      </c>
      <c r="K24" s="15">
        <v>5.8419999999999996</v>
      </c>
      <c r="L24" s="13" t="s">
        <v>34</v>
      </c>
      <c r="M24" s="16">
        <f>SUM(N24:Y24)</f>
        <v>684.8090000000002</v>
      </c>
      <c r="N24" s="17">
        <v>152.19999999999999</v>
      </c>
      <c r="O24" s="17">
        <v>3.2090000000000001</v>
      </c>
      <c r="P24" s="17">
        <v>38.28</v>
      </c>
      <c r="Q24" s="17">
        <v>18.53</v>
      </c>
      <c r="R24" s="18">
        <v>426.70299999999997</v>
      </c>
      <c r="S24" s="18">
        <v>15.814</v>
      </c>
      <c r="T24" s="19">
        <v>10.7</v>
      </c>
      <c r="U24" s="18">
        <v>0.23899999999999999</v>
      </c>
      <c r="V24" s="18">
        <v>17.853999999999999</v>
      </c>
      <c r="W24" s="18" t="s">
        <v>34</v>
      </c>
      <c r="X24" s="18">
        <v>1.21</v>
      </c>
      <c r="Y24" s="18">
        <v>7.0000000000000007E-2</v>
      </c>
      <c r="Z24" s="19">
        <v>-16.579999999999998</v>
      </c>
      <c r="AA24" s="20">
        <v>0.56000000000000005</v>
      </c>
      <c r="AB24" s="19">
        <v>-4.9809999999999999</v>
      </c>
      <c r="AC24" s="20">
        <v>5.8999999999999997E-2</v>
      </c>
      <c r="AD24" s="19">
        <f t="shared" si="0"/>
        <v>23.268000000000001</v>
      </c>
      <c r="AE24" s="24">
        <v>0.5</v>
      </c>
      <c r="AF24" s="24">
        <v>0.06</v>
      </c>
    </row>
    <row r="25" spans="1:32" x14ac:dyDescent="0.25">
      <c r="A25" s="25" t="s">
        <v>60</v>
      </c>
      <c r="B25" s="9">
        <v>44991</v>
      </c>
      <c r="C25" s="10">
        <v>-32.443530000000003</v>
      </c>
      <c r="D25" s="23">
        <v>18.814699999999998</v>
      </c>
      <c r="E25" s="19">
        <v>118</v>
      </c>
      <c r="F25" s="16" t="s">
        <v>33</v>
      </c>
      <c r="G25" s="26">
        <v>340</v>
      </c>
      <c r="H25" s="12" t="s">
        <v>34</v>
      </c>
      <c r="I25" s="19">
        <v>328.5</v>
      </c>
      <c r="J25" s="12" t="s">
        <v>34</v>
      </c>
      <c r="K25" s="19">
        <v>4.8929999999999998</v>
      </c>
      <c r="L25" s="13" t="s">
        <v>34</v>
      </c>
      <c r="M25" s="16" t="s">
        <v>34</v>
      </c>
      <c r="N25" s="19" t="s">
        <v>34</v>
      </c>
      <c r="O25" s="19" t="s">
        <v>34</v>
      </c>
      <c r="P25" s="19" t="s">
        <v>34</v>
      </c>
      <c r="Q25" s="19" t="s">
        <v>34</v>
      </c>
      <c r="R25" s="19" t="s">
        <v>34</v>
      </c>
      <c r="S25" s="19" t="s">
        <v>34</v>
      </c>
      <c r="T25" s="19" t="s">
        <v>34</v>
      </c>
      <c r="U25" s="19" t="s">
        <v>34</v>
      </c>
      <c r="V25" s="19" t="s">
        <v>34</v>
      </c>
      <c r="W25" s="19" t="s">
        <v>34</v>
      </c>
      <c r="X25" s="19" t="s">
        <v>34</v>
      </c>
      <c r="Y25" s="19" t="s">
        <v>34</v>
      </c>
      <c r="Z25" s="19">
        <v>-15.47</v>
      </c>
      <c r="AA25" s="20">
        <v>0.63</v>
      </c>
      <c r="AB25" s="19">
        <v>-4.6269999999999998</v>
      </c>
      <c r="AC25" s="20">
        <v>4.9000000000000002E-2</v>
      </c>
      <c r="AD25" s="19">
        <f t="shared" si="0"/>
        <v>21.545999999999999</v>
      </c>
      <c r="AE25" s="24">
        <v>0.5</v>
      </c>
      <c r="AF25" s="24">
        <v>0.06</v>
      </c>
    </row>
    <row r="26" spans="1:32" x14ac:dyDescent="0.25">
      <c r="A26" s="25" t="s">
        <v>61</v>
      </c>
      <c r="B26" s="9">
        <v>44991</v>
      </c>
      <c r="C26" s="10">
        <v>-32.430473999999997</v>
      </c>
      <c r="D26" s="23">
        <v>18.804500000000001</v>
      </c>
      <c r="E26" s="19">
        <v>152</v>
      </c>
      <c r="F26" s="16" t="s">
        <v>33</v>
      </c>
      <c r="G26" s="14">
        <v>281</v>
      </c>
      <c r="H26" s="12" t="s">
        <v>34</v>
      </c>
      <c r="I26" s="19">
        <v>323.10000000000002</v>
      </c>
      <c r="J26" s="12" t="s">
        <v>34</v>
      </c>
      <c r="K26" s="19">
        <v>4.9050000000000002</v>
      </c>
      <c r="L26" s="13" t="s">
        <v>34</v>
      </c>
      <c r="M26" s="16">
        <f>SUM(N26:Y26)</f>
        <v>163.33500000000004</v>
      </c>
      <c r="N26" s="17">
        <v>43.42</v>
      </c>
      <c r="O26" s="17">
        <v>0.1</v>
      </c>
      <c r="P26" s="17">
        <v>6.09</v>
      </c>
      <c r="Q26" s="17">
        <v>2.911</v>
      </c>
      <c r="R26" s="18">
        <v>91.13</v>
      </c>
      <c r="S26" s="18">
        <v>5.6239999999999997</v>
      </c>
      <c r="T26" s="19">
        <v>5.4</v>
      </c>
      <c r="U26" s="18">
        <v>0.28199999999999997</v>
      </c>
      <c r="V26" s="18">
        <v>8.0440000000000005</v>
      </c>
      <c r="W26" s="18" t="s">
        <v>34</v>
      </c>
      <c r="X26" s="18">
        <v>0.28399999999999997</v>
      </c>
      <c r="Y26" s="18">
        <v>0.05</v>
      </c>
      <c r="Z26" s="19">
        <v>-17.920000000000002</v>
      </c>
      <c r="AA26" s="20">
        <v>0.35</v>
      </c>
      <c r="AB26" s="19">
        <v>-4.8890000000000002</v>
      </c>
      <c r="AC26" s="20">
        <v>3.5000000000000003E-2</v>
      </c>
      <c r="AD26" s="19">
        <f t="shared" si="0"/>
        <v>21.192</v>
      </c>
      <c r="AE26" s="24">
        <v>0.5</v>
      </c>
      <c r="AF26" s="24">
        <v>0.06</v>
      </c>
    </row>
    <row r="27" spans="1:32" x14ac:dyDescent="0.25">
      <c r="A27" s="25" t="s">
        <v>62</v>
      </c>
      <c r="B27" s="9">
        <v>44991</v>
      </c>
      <c r="C27" s="10">
        <v>-32.441130000000001</v>
      </c>
      <c r="D27" s="23">
        <v>18.7849</v>
      </c>
      <c r="E27" s="19">
        <v>80</v>
      </c>
      <c r="F27" s="16" t="s">
        <v>33</v>
      </c>
      <c r="G27" s="26">
        <v>229</v>
      </c>
      <c r="H27" s="12" t="s">
        <v>34</v>
      </c>
      <c r="I27" s="19">
        <v>349</v>
      </c>
      <c r="J27" s="12" t="s">
        <v>34</v>
      </c>
      <c r="K27" s="19">
        <v>5.7830000000000004</v>
      </c>
      <c r="L27" s="13" t="s">
        <v>34</v>
      </c>
      <c r="M27" s="16" t="s">
        <v>34</v>
      </c>
      <c r="N27" s="19" t="s">
        <v>34</v>
      </c>
      <c r="O27" s="19" t="s">
        <v>34</v>
      </c>
      <c r="P27" s="19" t="s">
        <v>34</v>
      </c>
      <c r="Q27" s="19" t="s">
        <v>34</v>
      </c>
      <c r="R27" s="19" t="s">
        <v>34</v>
      </c>
      <c r="S27" s="19" t="s">
        <v>34</v>
      </c>
      <c r="T27" s="19" t="s">
        <v>34</v>
      </c>
      <c r="U27" s="19" t="s">
        <v>34</v>
      </c>
      <c r="V27" s="19" t="s">
        <v>34</v>
      </c>
      <c r="W27" s="19" t="s">
        <v>34</v>
      </c>
      <c r="X27" s="19" t="s">
        <v>34</v>
      </c>
      <c r="Y27" s="19" t="s">
        <v>34</v>
      </c>
      <c r="Z27" s="19">
        <v>-12.2</v>
      </c>
      <c r="AA27" s="20">
        <v>0.73</v>
      </c>
      <c r="AB27" s="19">
        <v>-3.3980000000000001</v>
      </c>
      <c r="AC27" s="20">
        <v>6.8000000000000005E-2</v>
      </c>
      <c r="AD27" s="19">
        <f t="shared" si="0"/>
        <v>14.984000000000002</v>
      </c>
      <c r="AE27" s="24">
        <v>0.5</v>
      </c>
      <c r="AF27" s="24">
        <v>0.06</v>
      </c>
    </row>
    <row r="28" spans="1:32" x14ac:dyDescent="0.25">
      <c r="A28" s="25" t="s">
        <v>63</v>
      </c>
      <c r="B28" s="9">
        <v>44991</v>
      </c>
      <c r="C28" s="10">
        <v>-32.466805000000001</v>
      </c>
      <c r="D28" s="23">
        <v>18.7986</v>
      </c>
      <c r="E28" s="19">
        <v>170</v>
      </c>
      <c r="F28" s="16" t="s">
        <v>33</v>
      </c>
      <c r="G28" s="26">
        <v>222</v>
      </c>
      <c r="H28" s="12" t="s">
        <v>34</v>
      </c>
      <c r="I28" s="19">
        <v>712.6</v>
      </c>
      <c r="J28" s="12" t="s">
        <v>34</v>
      </c>
      <c r="K28" s="19">
        <v>4.6680000000000001</v>
      </c>
      <c r="L28" s="13" t="s">
        <v>34</v>
      </c>
      <c r="M28" s="16">
        <f>SUM(N28:Y28)</f>
        <v>359.82700000000006</v>
      </c>
      <c r="N28" s="17">
        <v>82.63</v>
      </c>
      <c r="O28" s="17">
        <v>1.8129999999999999</v>
      </c>
      <c r="P28" s="17">
        <v>16.72</v>
      </c>
      <c r="Q28" s="17">
        <v>10.5</v>
      </c>
      <c r="R28" s="18">
        <v>186.947</v>
      </c>
      <c r="S28" s="18">
        <v>34.341999999999999</v>
      </c>
      <c r="T28" s="19">
        <v>4.3</v>
      </c>
      <c r="U28" s="18">
        <v>0.245</v>
      </c>
      <c r="V28" s="18">
        <v>21.651</v>
      </c>
      <c r="W28" s="18" t="s">
        <v>34</v>
      </c>
      <c r="X28" s="18">
        <v>0.51900000000000002</v>
      </c>
      <c r="Y28" s="18">
        <v>0.16</v>
      </c>
      <c r="Z28" s="19">
        <v>-18.12</v>
      </c>
      <c r="AA28" s="20">
        <v>0.35</v>
      </c>
      <c r="AB28" s="19">
        <v>-3.9870000000000001</v>
      </c>
      <c r="AC28" s="20">
        <v>6.3E-2</v>
      </c>
      <c r="AD28" s="19">
        <f t="shared" si="0"/>
        <v>13.776</v>
      </c>
      <c r="AE28" s="24">
        <v>0.1</v>
      </c>
      <c r="AF28" s="28">
        <v>0.09</v>
      </c>
    </row>
    <row r="29" spans="1:32" x14ac:dyDescent="0.25">
      <c r="A29" s="25" t="s">
        <v>64</v>
      </c>
      <c r="B29" s="9">
        <v>44991</v>
      </c>
      <c r="C29" s="10">
        <v>-32.465181000000001</v>
      </c>
      <c r="D29" s="23">
        <v>18.745241</v>
      </c>
      <c r="E29" s="19">
        <v>138</v>
      </c>
      <c r="F29" s="16" t="s">
        <v>33</v>
      </c>
      <c r="G29" s="26">
        <v>143</v>
      </c>
      <c r="H29" s="12" t="s">
        <v>34</v>
      </c>
      <c r="I29" s="19">
        <v>805.4</v>
      </c>
      <c r="J29" s="12" t="s">
        <v>34</v>
      </c>
      <c r="K29" s="19">
        <v>4.6230000000000002</v>
      </c>
      <c r="L29" s="13" t="s">
        <v>34</v>
      </c>
      <c r="M29" s="16">
        <f>SUM(N29:Y29)</f>
        <v>409.43800000000005</v>
      </c>
      <c r="N29" s="17">
        <v>98.04</v>
      </c>
      <c r="O29" s="17">
        <v>2.5659999999999998</v>
      </c>
      <c r="P29" s="17">
        <v>18.29</v>
      </c>
      <c r="Q29" s="17">
        <v>8.6039999999999992</v>
      </c>
      <c r="R29" s="18">
        <v>212.07</v>
      </c>
      <c r="S29" s="18">
        <v>33.744999999999997</v>
      </c>
      <c r="T29" s="19">
        <v>5.9</v>
      </c>
      <c r="U29" s="18">
        <v>0.1</v>
      </c>
      <c r="V29" s="18">
        <v>29.343</v>
      </c>
      <c r="W29" s="18" t="s">
        <v>34</v>
      </c>
      <c r="X29" s="18">
        <v>0.629</v>
      </c>
      <c r="Y29" s="18">
        <v>0.151</v>
      </c>
      <c r="Z29" s="19">
        <v>-16.399999999999999</v>
      </c>
      <c r="AA29" s="20">
        <v>0.98</v>
      </c>
      <c r="AB29" s="19">
        <v>-4.3</v>
      </c>
      <c r="AC29" s="20">
        <v>5.7000000000000002E-2</v>
      </c>
      <c r="AD29" s="19">
        <f>Z29-8*AB29</f>
        <v>18</v>
      </c>
      <c r="AE29" s="24">
        <v>0.5</v>
      </c>
      <c r="AF29" s="24">
        <v>0.06</v>
      </c>
    </row>
    <row r="30" spans="1:32" x14ac:dyDescent="0.25">
      <c r="A30" s="25" t="s">
        <v>65</v>
      </c>
      <c r="B30" s="9">
        <v>44991</v>
      </c>
      <c r="C30" s="10">
        <v>-32.464528000000001</v>
      </c>
      <c r="D30" s="23">
        <v>18.725836999999999</v>
      </c>
      <c r="E30" s="19">
        <v>54</v>
      </c>
      <c r="F30" s="16" t="s">
        <v>33</v>
      </c>
      <c r="G30" s="14">
        <v>136</v>
      </c>
      <c r="H30" s="12" t="s">
        <v>34</v>
      </c>
      <c r="I30" s="19">
        <v>636.9</v>
      </c>
      <c r="J30" s="12" t="s">
        <v>34</v>
      </c>
      <c r="K30" s="19">
        <v>4.7539999999999996</v>
      </c>
      <c r="L30" s="13" t="s">
        <v>34</v>
      </c>
      <c r="M30" s="16" t="s">
        <v>34</v>
      </c>
      <c r="N30" s="19" t="s">
        <v>34</v>
      </c>
      <c r="O30" s="19" t="s">
        <v>34</v>
      </c>
      <c r="P30" s="19" t="s">
        <v>34</v>
      </c>
      <c r="Q30" s="19" t="s">
        <v>34</v>
      </c>
      <c r="R30" s="19" t="s">
        <v>34</v>
      </c>
      <c r="S30" s="19" t="s">
        <v>34</v>
      </c>
      <c r="T30" s="19" t="s">
        <v>34</v>
      </c>
      <c r="U30" s="19" t="s">
        <v>34</v>
      </c>
      <c r="V30" s="19" t="s">
        <v>34</v>
      </c>
      <c r="W30" s="19" t="s">
        <v>34</v>
      </c>
      <c r="X30" s="19" t="s">
        <v>34</v>
      </c>
      <c r="Y30" s="19" t="s">
        <v>34</v>
      </c>
      <c r="Z30" s="19">
        <v>-17.14</v>
      </c>
      <c r="AA30" s="20">
        <v>0.67</v>
      </c>
      <c r="AB30" s="19">
        <v>-4.07</v>
      </c>
      <c r="AC30" s="20">
        <v>8.5999999999999993E-2</v>
      </c>
      <c r="AD30" s="19">
        <f t="shared" si="0"/>
        <v>15.420000000000002</v>
      </c>
      <c r="AE30" s="24">
        <v>0.5</v>
      </c>
      <c r="AF30" s="24">
        <v>0.06</v>
      </c>
    </row>
    <row r="31" spans="1:32" x14ac:dyDescent="0.25">
      <c r="A31" s="8" t="s">
        <v>66</v>
      </c>
      <c r="B31" s="9">
        <v>44992</v>
      </c>
      <c r="C31" s="10">
        <v>-32.593772999999999</v>
      </c>
      <c r="D31" s="23">
        <v>18.747599999999998</v>
      </c>
      <c r="E31" s="30">
        <v>11</v>
      </c>
      <c r="F31" s="16" t="s">
        <v>49</v>
      </c>
      <c r="G31" s="14">
        <v>54</v>
      </c>
      <c r="H31" s="12" t="s">
        <v>34</v>
      </c>
      <c r="I31" s="19">
        <v>1816</v>
      </c>
      <c r="J31" s="12" t="s">
        <v>34</v>
      </c>
      <c r="K31" s="19">
        <v>4.8230000000000004</v>
      </c>
      <c r="L31" s="13" t="s">
        <v>34</v>
      </c>
      <c r="M31" s="16">
        <f>SUM(N31:Y31)</f>
        <v>960.63399999999979</v>
      </c>
      <c r="N31" s="17">
        <v>225.2</v>
      </c>
      <c r="O31" s="17">
        <v>3.9350000000000001</v>
      </c>
      <c r="P31" s="17">
        <v>45.91</v>
      </c>
      <c r="Q31" s="17">
        <v>28.49</v>
      </c>
      <c r="R31" s="18">
        <v>539.33299999999997</v>
      </c>
      <c r="S31" s="18">
        <v>64.168000000000006</v>
      </c>
      <c r="T31" s="19">
        <v>16.899999999999999</v>
      </c>
      <c r="U31" s="18">
        <v>1.7749999999999999</v>
      </c>
      <c r="V31" s="18">
        <v>33.19</v>
      </c>
      <c r="W31" s="18" t="s">
        <v>34</v>
      </c>
      <c r="X31" s="18">
        <v>1.5589999999999999</v>
      </c>
      <c r="Y31" s="18">
        <v>0.17399999999999999</v>
      </c>
      <c r="Z31" s="19">
        <v>-18.7</v>
      </c>
      <c r="AA31" s="20">
        <v>0.79</v>
      </c>
      <c r="AB31" s="19">
        <v>-5.0620000000000003</v>
      </c>
      <c r="AC31" s="20">
        <v>7.9000000000000001E-2</v>
      </c>
      <c r="AD31" s="19">
        <f t="shared" si="0"/>
        <v>21.796000000000003</v>
      </c>
      <c r="AE31" s="24">
        <v>0.5</v>
      </c>
      <c r="AF31" s="24">
        <v>0.06</v>
      </c>
    </row>
    <row r="32" spans="1:32" x14ac:dyDescent="0.25">
      <c r="A32" s="8" t="s">
        <v>67</v>
      </c>
      <c r="B32" s="9">
        <v>44992</v>
      </c>
      <c r="C32" s="23">
        <v>-32.609400000000001</v>
      </c>
      <c r="D32" s="23">
        <v>18.7761</v>
      </c>
      <c r="E32" s="19">
        <v>218</v>
      </c>
      <c r="F32" s="16" t="s">
        <v>38</v>
      </c>
      <c r="G32" s="14">
        <v>72</v>
      </c>
      <c r="H32" s="12" t="s">
        <v>34</v>
      </c>
      <c r="I32" s="12">
        <v>972.1</v>
      </c>
      <c r="J32" s="12" t="s">
        <v>34</v>
      </c>
      <c r="K32" s="15">
        <v>6.1909999999999998</v>
      </c>
      <c r="L32" s="13" t="s">
        <v>34</v>
      </c>
      <c r="M32" s="16">
        <f>SUM(N32:Y32)</f>
        <v>517.12100000000009</v>
      </c>
      <c r="N32" s="17">
        <v>108.2</v>
      </c>
      <c r="O32" s="17">
        <v>1.6830000000000001</v>
      </c>
      <c r="P32" s="17">
        <v>18.57</v>
      </c>
      <c r="Q32" s="17">
        <v>37.24</v>
      </c>
      <c r="R32" s="18">
        <v>276.13200000000001</v>
      </c>
      <c r="S32" s="18">
        <v>27.992999999999999</v>
      </c>
      <c r="T32" s="19">
        <v>31</v>
      </c>
      <c r="U32" s="18">
        <v>0.1</v>
      </c>
      <c r="V32" s="18">
        <v>15.332000000000001</v>
      </c>
      <c r="W32" s="18" t="s">
        <v>34</v>
      </c>
      <c r="X32" s="18">
        <v>0.82099999999999995</v>
      </c>
      <c r="Y32" s="18">
        <v>0.05</v>
      </c>
      <c r="Z32" s="19">
        <v>-14.18</v>
      </c>
      <c r="AA32" s="20">
        <v>0.36</v>
      </c>
      <c r="AB32" s="19">
        <v>-4.1989999999999998</v>
      </c>
      <c r="AC32" s="20">
        <v>3.5000000000000003E-2</v>
      </c>
      <c r="AD32" s="19">
        <f>Z32-8*AB32</f>
        <v>19.411999999999999</v>
      </c>
      <c r="AE32" s="19" t="s">
        <v>34</v>
      </c>
      <c r="AF32" s="19" t="s">
        <v>34</v>
      </c>
    </row>
    <row r="33" spans="1:32" x14ac:dyDescent="0.25">
      <c r="A33" s="8" t="s">
        <v>68</v>
      </c>
      <c r="B33" s="9">
        <v>44994</v>
      </c>
      <c r="C33" s="23">
        <v>-32.704644000000002</v>
      </c>
      <c r="D33" s="23">
        <v>18.795452000000001</v>
      </c>
      <c r="E33" s="19">
        <v>80</v>
      </c>
      <c r="F33" s="16" t="s">
        <v>33</v>
      </c>
      <c r="G33" s="14">
        <v>193</v>
      </c>
      <c r="H33" s="19" t="s">
        <v>34</v>
      </c>
      <c r="I33" s="20">
        <v>222</v>
      </c>
      <c r="J33" s="12" t="s">
        <v>34</v>
      </c>
      <c r="K33" s="19">
        <v>7.22</v>
      </c>
      <c r="L33" s="13" t="s">
        <v>34</v>
      </c>
      <c r="M33" s="16" t="s">
        <v>34</v>
      </c>
      <c r="N33" s="19" t="s">
        <v>34</v>
      </c>
      <c r="O33" s="19" t="s">
        <v>34</v>
      </c>
      <c r="P33" s="19" t="s">
        <v>34</v>
      </c>
      <c r="Q33" s="19" t="s">
        <v>34</v>
      </c>
      <c r="R33" s="19" t="s">
        <v>34</v>
      </c>
      <c r="S33" s="19" t="s">
        <v>34</v>
      </c>
      <c r="T33" s="19" t="s">
        <v>34</v>
      </c>
      <c r="U33" s="19" t="s">
        <v>34</v>
      </c>
      <c r="V33" s="19" t="s">
        <v>34</v>
      </c>
      <c r="W33" s="19" t="s">
        <v>34</v>
      </c>
      <c r="X33" s="19" t="s">
        <v>34</v>
      </c>
      <c r="Y33" s="19" t="s">
        <v>34</v>
      </c>
      <c r="Z33" s="19">
        <v>-15.48</v>
      </c>
      <c r="AA33" s="19">
        <v>0.56999999999999995</v>
      </c>
      <c r="AB33" s="19">
        <v>-4.218</v>
      </c>
      <c r="AC33" s="19">
        <v>5.5E-2</v>
      </c>
      <c r="AD33" s="19">
        <f>Z33-8*AB33</f>
        <v>18.263999999999999</v>
      </c>
      <c r="AE33" s="24">
        <v>0.5</v>
      </c>
      <c r="AF33" s="24">
        <v>0.06</v>
      </c>
    </row>
    <row r="34" spans="1:32" x14ac:dyDescent="0.25">
      <c r="A34" s="8" t="s">
        <v>69</v>
      </c>
      <c r="B34" s="31">
        <v>45089</v>
      </c>
      <c r="C34" s="11">
        <v>-32.7258</v>
      </c>
      <c r="D34" s="11">
        <v>18.670587999999999</v>
      </c>
      <c r="E34" s="12">
        <v>100</v>
      </c>
      <c r="F34" s="13" t="s">
        <v>33</v>
      </c>
      <c r="G34" s="18">
        <v>745</v>
      </c>
      <c r="H34" s="19">
        <v>116.7</v>
      </c>
      <c r="I34" s="19">
        <v>121</v>
      </c>
      <c r="J34" s="19">
        <v>5.33</v>
      </c>
      <c r="K34" s="19">
        <v>6.202</v>
      </c>
      <c r="L34" s="16">
        <v>66.400000000000006</v>
      </c>
      <c r="M34" s="16">
        <f>SUM(N34:Y34)</f>
        <v>61.927799999999998</v>
      </c>
      <c r="N34" s="17">
        <v>10.62</v>
      </c>
      <c r="O34" s="17">
        <v>0.61770000000000003</v>
      </c>
      <c r="P34" s="17">
        <v>2.1779999999999999</v>
      </c>
      <c r="Q34" s="17">
        <v>0.82809999999999995</v>
      </c>
      <c r="R34" s="18">
        <v>32.853000000000002</v>
      </c>
      <c r="S34" s="18">
        <v>0.91300000000000003</v>
      </c>
      <c r="T34" s="19">
        <v>4.8</v>
      </c>
      <c r="U34" s="30">
        <v>0.1</v>
      </c>
      <c r="V34" s="18">
        <v>8.8800000000000008</v>
      </c>
      <c r="W34" s="18" t="s">
        <v>34</v>
      </c>
      <c r="X34" s="18">
        <v>8.7999999999999995E-2</v>
      </c>
      <c r="Y34" s="30">
        <v>0.05</v>
      </c>
      <c r="Z34" s="19">
        <v>-14.91</v>
      </c>
      <c r="AA34" s="19">
        <v>0.8</v>
      </c>
      <c r="AB34" s="19">
        <v>-4.3109999999999999</v>
      </c>
      <c r="AC34" s="19">
        <v>6.6000000000000003E-2</v>
      </c>
      <c r="AD34" s="19">
        <f>Z34-8*AB34</f>
        <v>19.577999999999999</v>
      </c>
      <c r="AE34" s="24">
        <v>0.5</v>
      </c>
      <c r="AF34" s="24">
        <v>0.06</v>
      </c>
    </row>
    <row r="35" spans="1:32" x14ac:dyDescent="0.25">
      <c r="A35" s="8" t="s">
        <v>70</v>
      </c>
      <c r="B35" s="31">
        <v>45089</v>
      </c>
      <c r="C35" s="32" t="s">
        <v>34</v>
      </c>
      <c r="D35" s="32" t="s">
        <v>34</v>
      </c>
      <c r="E35" s="12" t="s">
        <v>34</v>
      </c>
      <c r="F35" s="33" t="s">
        <v>34</v>
      </c>
      <c r="G35" s="12" t="s">
        <v>34</v>
      </c>
      <c r="H35" s="12" t="s">
        <v>34</v>
      </c>
      <c r="I35" s="19">
        <v>1.5840000000000001</v>
      </c>
      <c r="J35" s="19" t="s">
        <v>34</v>
      </c>
      <c r="K35" s="19">
        <v>7.7350000000000003</v>
      </c>
      <c r="L35" s="16" t="s">
        <v>34</v>
      </c>
      <c r="M35" s="16">
        <f>SUM(N35:Y35)</f>
        <v>6.815599999999999</v>
      </c>
      <c r="N35" s="17">
        <v>0.1356</v>
      </c>
      <c r="O35" s="17">
        <v>0.1</v>
      </c>
      <c r="P35" s="17">
        <v>0.1</v>
      </c>
      <c r="Q35" s="17">
        <v>0.03</v>
      </c>
      <c r="R35" s="30">
        <v>0.75</v>
      </c>
      <c r="S35" s="30">
        <v>0.75</v>
      </c>
      <c r="T35" s="19">
        <v>4.8</v>
      </c>
      <c r="U35" s="30">
        <v>0.1</v>
      </c>
      <c r="V35" s="30">
        <v>0.05</v>
      </c>
      <c r="W35" s="18" t="s">
        <v>34</v>
      </c>
      <c r="X35" s="18" t="s">
        <v>34</v>
      </c>
      <c r="Y35" s="18" t="s">
        <v>34</v>
      </c>
      <c r="Z35" s="19" t="s">
        <v>34</v>
      </c>
      <c r="AA35" s="19" t="s">
        <v>34</v>
      </c>
      <c r="AB35" s="19" t="s">
        <v>34</v>
      </c>
      <c r="AC35" s="19" t="s">
        <v>34</v>
      </c>
      <c r="AD35" s="19" t="s">
        <v>34</v>
      </c>
      <c r="AE35" s="19" t="s">
        <v>34</v>
      </c>
      <c r="AF35" s="19" t="s">
        <v>34</v>
      </c>
    </row>
    <row r="36" spans="1:32" x14ac:dyDescent="0.25">
      <c r="A36" s="8" t="s">
        <v>71</v>
      </c>
      <c r="B36" s="31">
        <v>45089</v>
      </c>
      <c r="C36" s="32">
        <v>-32.770913999999998</v>
      </c>
      <c r="D36" s="32">
        <v>18.672073000000001</v>
      </c>
      <c r="E36" s="30">
        <v>100</v>
      </c>
      <c r="F36" s="13" t="s">
        <v>33</v>
      </c>
      <c r="G36" s="18">
        <v>475</v>
      </c>
      <c r="H36" s="19">
        <v>580</v>
      </c>
      <c r="I36" s="19" t="s">
        <v>34</v>
      </c>
      <c r="J36" s="19">
        <v>6.2</v>
      </c>
      <c r="K36" s="19" t="s">
        <v>34</v>
      </c>
      <c r="L36" s="16">
        <v>343</v>
      </c>
      <c r="M36" s="16" t="s">
        <v>34</v>
      </c>
      <c r="N36" s="19" t="s">
        <v>34</v>
      </c>
      <c r="O36" s="19" t="s">
        <v>34</v>
      </c>
      <c r="P36" s="19" t="s">
        <v>34</v>
      </c>
      <c r="Q36" s="19" t="s">
        <v>34</v>
      </c>
      <c r="R36" s="19" t="s">
        <v>34</v>
      </c>
      <c r="S36" s="19" t="s">
        <v>34</v>
      </c>
      <c r="T36" s="19" t="s">
        <v>34</v>
      </c>
      <c r="U36" s="19" t="s">
        <v>34</v>
      </c>
      <c r="V36" s="19" t="s">
        <v>34</v>
      </c>
      <c r="W36" s="19" t="s">
        <v>34</v>
      </c>
      <c r="X36" s="19" t="s">
        <v>34</v>
      </c>
      <c r="Y36" s="19" t="s">
        <v>34</v>
      </c>
      <c r="Z36" s="19" t="s">
        <v>34</v>
      </c>
      <c r="AA36" s="19" t="s">
        <v>34</v>
      </c>
      <c r="AB36" s="19" t="s">
        <v>34</v>
      </c>
      <c r="AC36" s="19" t="s">
        <v>34</v>
      </c>
      <c r="AD36" s="19" t="s">
        <v>34</v>
      </c>
      <c r="AE36" s="24">
        <v>2.2000000000000002</v>
      </c>
      <c r="AF36" s="28">
        <v>0.24</v>
      </c>
    </row>
    <row r="37" spans="1:32" x14ac:dyDescent="0.25">
      <c r="A37" s="8" t="s">
        <v>72</v>
      </c>
      <c r="B37" s="31">
        <v>45091</v>
      </c>
      <c r="C37" s="23">
        <v>-32.708300000000001</v>
      </c>
      <c r="D37" s="23">
        <v>18.714400000000001</v>
      </c>
      <c r="E37" s="19">
        <v>48</v>
      </c>
      <c r="F37" s="16" t="s">
        <v>38</v>
      </c>
      <c r="G37" s="18">
        <v>104</v>
      </c>
      <c r="H37" s="19">
        <v>955</v>
      </c>
      <c r="I37" s="19">
        <v>770.2</v>
      </c>
      <c r="J37" s="19">
        <v>2.17</v>
      </c>
      <c r="K37" s="19">
        <v>6.694</v>
      </c>
      <c r="L37" s="16">
        <v>577</v>
      </c>
      <c r="M37" s="16">
        <f t="shared" ref="M37:M39" si="1">SUM(N37:Y37)</f>
        <v>496.548</v>
      </c>
      <c r="N37" s="17">
        <v>61.41</v>
      </c>
      <c r="O37" s="17">
        <v>3.0089999999999999</v>
      </c>
      <c r="P37" s="17">
        <v>19.989999999999998</v>
      </c>
      <c r="Q37" s="17">
        <v>72.88</v>
      </c>
      <c r="R37" s="18">
        <v>149.81100000000001</v>
      </c>
      <c r="S37" s="18">
        <v>80.725999999999999</v>
      </c>
      <c r="T37" s="19">
        <v>107.7</v>
      </c>
      <c r="U37" s="30">
        <v>0.1</v>
      </c>
      <c r="V37" s="18" t="s">
        <v>34</v>
      </c>
      <c r="W37" s="18" t="s">
        <v>34</v>
      </c>
      <c r="X37" s="18">
        <v>0.45500000000000002</v>
      </c>
      <c r="Y37" s="18">
        <v>0.46700000000000003</v>
      </c>
      <c r="Z37" s="19">
        <v>-10.69</v>
      </c>
      <c r="AA37" s="19">
        <v>0.53</v>
      </c>
      <c r="AB37" s="19">
        <v>-3.456</v>
      </c>
      <c r="AC37" s="19">
        <v>9.7000000000000003E-2</v>
      </c>
      <c r="AD37" s="19">
        <f>Z37-8*AB37</f>
        <v>16.957999999999998</v>
      </c>
      <c r="AE37" s="24">
        <v>0.5</v>
      </c>
      <c r="AF37" s="24">
        <v>0.06</v>
      </c>
    </row>
    <row r="38" spans="1:32" x14ac:dyDescent="0.25">
      <c r="A38" s="8" t="s">
        <v>73</v>
      </c>
      <c r="B38" s="31">
        <v>45091</v>
      </c>
      <c r="C38" s="10">
        <v>-32.650621999999998</v>
      </c>
      <c r="D38" s="23">
        <v>18.697213000000001</v>
      </c>
      <c r="E38" s="19">
        <v>68</v>
      </c>
      <c r="F38" s="16" t="s">
        <v>38</v>
      </c>
      <c r="G38" s="18">
        <v>92</v>
      </c>
      <c r="H38" s="19">
        <v>1420</v>
      </c>
      <c r="I38" s="19">
        <v>2443</v>
      </c>
      <c r="J38" s="19">
        <v>3.36</v>
      </c>
      <c r="K38" s="19">
        <v>8.17</v>
      </c>
      <c r="L38" s="16">
        <v>852</v>
      </c>
      <c r="M38" s="16">
        <f t="shared" si="1"/>
        <v>1514.6179999999999</v>
      </c>
      <c r="N38" s="17">
        <v>271</v>
      </c>
      <c r="O38" s="17">
        <v>8.5670000000000002</v>
      </c>
      <c r="P38" s="17">
        <v>83.64</v>
      </c>
      <c r="Q38" s="17">
        <v>125</v>
      </c>
      <c r="R38" s="18">
        <v>721.54700000000003</v>
      </c>
      <c r="S38" s="18">
        <v>117.96299999999999</v>
      </c>
      <c r="T38" s="19">
        <v>184.4</v>
      </c>
      <c r="U38" s="30">
        <v>0.1</v>
      </c>
      <c r="V38" s="18" t="s">
        <v>34</v>
      </c>
      <c r="W38" s="18" t="s">
        <v>34</v>
      </c>
      <c r="X38" s="18">
        <v>2.2290000000000001</v>
      </c>
      <c r="Y38" s="18">
        <v>0.17199999999999999</v>
      </c>
      <c r="Z38" s="19">
        <v>-14.96</v>
      </c>
      <c r="AA38" s="19">
        <v>0.43</v>
      </c>
      <c r="AB38" s="19">
        <v>-4.1870000000000003</v>
      </c>
      <c r="AC38" s="19">
        <v>6.5000000000000002E-2</v>
      </c>
      <c r="AD38" s="19">
        <f>Z38-8*AB38</f>
        <v>18.536000000000001</v>
      </c>
      <c r="AE38" s="24">
        <v>0.5</v>
      </c>
      <c r="AF38" s="24">
        <v>0.06</v>
      </c>
    </row>
    <row r="39" spans="1:32" x14ac:dyDescent="0.25">
      <c r="A39" s="8" t="s">
        <v>74</v>
      </c>
      <c r="B39" s="31">
        <v>45091</v>
      </c>
      <c r="C39" s="23">
        <v>-32.681617000000003</v>
      </c>
      <c r="D39" s="23">
        <v>18.719000000000001</v>
      </c>
      <c r="E39" s="19">
        <v>100</v>
      </c>
      <c r="F39" s="16" t="s">
        <v>38</v>
      </c>
      <c r="G39" s="18">
        <v>145</v>
      </c>
      <c r="H39" s="19">
        <v>65</v>
      </c>
      <c r="I39" s="19">
        <v>1649</v>
      </c>
      <c r="J39" s="19">
        <v>2.86</v>
      </c>
      <c r="K39" s="19">
        <v>6.59</v>
      </c>
      <c r="L39" s="16">
        <v>852</v>
      </c>
      <c r="M39" s="16">
        <f t="shared" si="1"/>
        <v>1010.9039999999999</v>
      </c>
      <c r="N39" s="17">
        <v>204.4</v>
      </c>
      <c r="O39" s="17">
        <v>4.58</v>
      </c>
      <c r="P39" s="17">
        <v>49.43</v>
      </c>
      <c r="Q39" s="17">
        <v>71.849999999999994</v>
      </c>
      <c r="R39" s="18">
        <v>503.16699999999997</v>
      </c>
      <c r="S39" s="18">
        <v>139.51499999999999</v>
      </c>
      <c r="T39" s="19">
        <v>35.5</v>
      </c>
      <c r="U39" s="18" t="s">
        <v>34</v>
      </c>
      <c r="V39" s="18">
        <v>0.496</v>
      </c>
      <c r="W39" s="18" t="s">
        <v>34</v>
      </c>
      <c r="X39" s="18">
        <v>1.58</v>
      </c>
      <c r="Y39" s="18">
        <v>0.38600000000000001</v>
      </c>
      <c r="Z39" s="19">
        <v>-12.82</v>
      </c>
      <c r="AA39" s="19">
        <v>0.81</v>
      </c>
      <c r="AB39" s="19">
        <v>-3.8530000000000002</v>
      </c>
      <c r="AC39" s="19">
        <v>0.04</v>
      </c>
      <c r="AD39" s="19">
        <f>Z39-8*AB39</f>
        <v>18.004000000000001</v>
      </c>
      <c r="AE39" s="24">
        <v>0.9</v>
      </c>
      <c r="AF39" s="28">
        <v>0.08</v>
      </c>
    </row>
    <row r="40" spans="1:32" x14ac:dyDescent="0.25">
      <c r="A40" s="25" t="s">
        <v>75</v>
      </c>
      <c r="B40" s="31">
        <v>45091</v>
      </c>
      <c r="C40" s="23">
        <v>-32.617807980000002</v>
      </c>
      <c r="D40" s="23">
        <v>18.622138979999999</v>
      </c>
      <c r="E40" s="19">
        <v>83</v>
      </c>
      <c r="F40" s="16" t="s">
        <v>38</v>
      </c>
      <c r="G40" s="18">
        <v>94</v>
      </c>
      <c r="H40" s="19">
        <v>555</v>
      </c>
      <c r="I40" s="19">
        <v>471.3</v>
      </c>
      <c r="J40" s="19">
        <v>3.68</v>
      </c>
      <c r="K40" s="19">
        <v>6.899</v>
      </c>
      <c r="L40" s="16">
        <v>334</v>
      </c>
      <c r="M40" s="16">
        <f>SUM(N40:Y40)</f>
        <v>263.60470000000004</v>
      </c>
      <c r="N40" s="17">
        <v>58.37</v>
      </c>
      <c r="O40" s="17">
        <v>0.70669999999999999</v>
      </c>
      <c r="P40" s="17">
        <v>13.07</v>
      </c>
      <c r="Q40" s="17">
        <v>12.89</v>
      </c>
      <c r="R40" s="18">
        <v>138.155</v>
      </c>
      <c r="S40" s="18">
        <v>7.7450000000000001</v>
      </c>
      <c r="T40" s="19">
        <v>21.6</v>
      </c>
      <c r="U40" s="18" t="s">
        <v>34</v>
      </c>
      <c r="V40" s="18">
        <v>10.608000000000001</v>
      </c>
      <c r="W40" s="18" t="s">
        <v>34</v>
      </c>
      <c r="X40" s="18">
        <v>0.41</v>
      </c>
      <c r="Y40" s="30">
        <v>0.05</v>
      </c>
      <c r="Z40" s="19">
        <v>-14.75</v>
      </c>
      <c r="AA40" s="19">
        <v>0.69</v>
      </c>
      <c r="AB40" s="19">
        <v>-3.8959999999999999</v>
      </c>
      <c r="AC40" s="19">
        <v>5.2999999999999999E-2</v>
      </c>
      <c r="AD40" s="19">
        <f>Z40-8*AB40</f>
        <v>16.417999999999999</v>
      </c>
      <c r="AE40" s="24">
        <v>0.5</v>
      </c>
      <c r="AF40" s="24">
        <v>0.06</v>
      </c>
    </row>
    <row r="41" spans="1:32" x14ac:dyDescent="0.25">
      <c r="A41" s="25" t="s">
        <v>76</v>
      </c>
      <c r="B41" s="31">
        <v>45091</v>
      </c>
      <c r="C41" s="23">
        <v>-32.602184020000003</v>
      </c>
      <c r="D41" s="23">
        <v>18.564984970000001</v>
      </c>
      <c r="E41" s="19" t="s">
        <v>34</v>
      </c>
      <c r="F41" s="13" t="s">
        <v>33</v>
      </c>
      <c r="G41" s="18">
        <v>194</v>
      </c>
      <c r="H41" s="19">
        <v>307</v>
      </c>
      <c r="I41" s="19">
        <v>271.10000000000002</v>
      </c>
      <c r="J41" s="19">
        <v>2.94</v>
      </c>
      <c r="K41" s="19">
        <v>5.3890000000000002</v>
      </c>
      <c r="L41" s="16">
        <v>189</v>
      </c>
      <c r="M41" s="16">
        <f>SUM(N41:Y41)</f>
        <v>140.86100000000002</v>
      </c>
      <c r="N41" s="17">
        <v>37.61</v>
      </c>
      <c r="O41" s="17">
        <v>1.262</v>
      </c>
      <c r="P41" s="17">
        <v>5.2229999999999999</v>
      </c>
      <c r="Q41" s="17">
        <v>1.597</v>
      </c>
      <c r="R41" s="18">
        <v>78.075999999999993</v>
      </c>
      <c r="S41" s="18">
        <v>7.93</v>
      </c>
      <c r="T41" s="19">
        <v>5.2</v>
      </c>
      <c r="U41" s="30">
        <v>0.1</v>
      </c>
      <c r="V41" s="18">
        <v>3.58</v>
      </c>
      <c r="W41" s="18" t="s">
        <v>34</v>
      </c>
      <c r="X41" s="18">
        <v>0.23300000000000001</v>
      </c>
      <c r="Y41" s="30">
        <v>0.05</v>
      </c>
      <c r="Z41" s="19">
        <v>-15.26</v>
      </c>
      <c r="AA41" s="19">
        <v>0.55000000000000004</v>
      </c>
      <c r="AB41" s="19">
        <v>-4.2779999999999996</v>
      </c>
      <c r="AC41" s="19">
        <v>9.2999999999999999E-2</v>
      </c>
      <c r="AD41" s="19">
        <f>Z41-8*AB41</f>
        <v>18.963999999999999</v>
      </c>
      <c r="AE41" s="24">
        <v>0.5</v>
      </c>
      <c r="AF41" s="24">
        <v>0.06</v>
      </c>
    </row>
    <row r="42" spans="1:32" x14ac:dyDescent="0.25">
      <c r="A42" s="25" t="s">
        <v>77</v>
      </c>
      <c r="B42" s="31">
        <v>45091</v>
      </c>
      <c r="C42" s="23">
        <v>-32.603320019999998</v>
      </c>
      <c r="D42" s="23">
        <v>18.57616299</v>
      </c>
      <c r="E42" s="19" t="s">
        <v>34</v>
      </c>
      <c r="F42" s="13" t="s">
        <v>33</v>
      </c>
      <c r="G42" s="18">
        <v>146</v>
      </c>
      <c r="H42" s="19">
        <v>1420</v>
      </c>
      <c r="I42" s="19" t="s">
        <v>34</v>
      </c>
      <c r="J42" s="19">
        <v>3.03</v>
      </c>
      <c r="K42" s="19" t="s">
        <v>34</v>
      </c>
      <c r="L42" s="16">
        <v>852</v>
      </c>
      <c r="M42" s="16" t="s">
        <v>34</v>
      </c>
      <c r="N42" s="19" t="s">
        <v>34</v>
      </c>
      <c r="O42" s="19" t="s">
        <v>34</v>
      </c>
      <c r="P42" s="19" t="s">
        <v>34</v>
      </c>
      <c r="Q42" s="19" t="s">
        <v>34</v>
      </c>
      <c r="R42" s="19" t="s">
        <v>34</v>
      </c>
      <c r="S42" s="19" t="s">
        <v>34</v>
      </c>
      <c r="T42" s="19" t="s">
        <v>34</v>
      </c>
      <c r="U42" s="19" t="s">
        <v>34</v>
      </c>
      <c r="V42" s="19" t="s">
        <v>34</v>
      </c>
      <c r="W42" s="19" t="s">
        <v>34</v>
      </c>
      <c r="X42" s="19" t="s">
        <v>34</v>
      </c>
      <c r="Y42" s="19" t="s">
        <v>34</v>
      </c>
      <c r="Z42" s="19" t="s">
        <v>34</v>
      </c>
      <c r="AA42" s="19" t="s">
        <v>34</v>
      </c>
      <c r="AB42" s="19" t="s">
        <v>34</v>
      </c>
      <c r="AC42" s="19" t="s">
        <v>34</v>
      </c>
      <c r="AD42" s="19" t="s">
        <v>34</v>
      </c>
      <c r="AE42" s="24">
        <v>0.9</v>
      </c>
      <c r="AF42" s="28">
        <v>0.08</v>
      </c>
    </row>
    <row r="43" spans="1:32" x14ac:dyDescent="0.25">
      <c r="A43" s="25" t="s">
        <v>78</v>
      </c>
      <c r="B43" s="31">
        <v>45091</v>
      </c>
      <c r="C43" s="23">
        <v>-32.5991</v>
      </c>
      <c r="D43" s="23">
        <v>18.682300000000001</v>
      </c>
      <c r="E43" s="19">
        <v>140</v>
      </c>
      <c r="F43" s="16" t="s">
        <v>38</v>
      </c>
      <c r="G43" s="18">
        <v>55</v>
      </c>
      <c r="H43" s="19">
        <v>129.69999999999999</v>
      </c>
      <c r="I43" s="19">
        <v>1032</v>
      </c>
      <c r="J43" s="19">
        <v>2.68</v>
      </c>
      <c r="K43" s="19">
        <v>6.8970000000000002</v>
      </c>
      <c r="L43" s="16">
        <v>771</v>
      </c>
      <c r="M43" s="16">
        <f>SUM(N43:Y43)</f>
        <v>638.54300000000001</v>
      </c>
      <c r="N43" s="17">
        <v>112.5</v>
      </c>
      <c r="O43" s="17">
        <v>5.5190000000000001</v>
      </c>
      <c r="P43" s="17">
        <v>28.52</v>
      </c>
      <c r="Q43" s="17">
        <v>61.23</v>
      </c>
      <c r="R43" s="18">
        <v>314.428</v>
      </c>
      <c r="S43" s="18">
        <v>40.271999999999998</v>
      </c>
      <c r="T43" s="19">
        <v>75.099999999999994</v>
      </c>
      <c r="U43" s="18" t="s">
        <v>34</v>
      </c>
      <c r="V43" s="18" t="s">
        <v>34</v>
      </c>
      <c r="W43" s="18" t="s">
        <v>34</v>
      </c>
      <c r="X43" s="18">
        <v>0.92400000000000004</v>
      </c>
      <c r="Y43" s="30">
        <v>0.05</v>
      </c>
      <c r="Z43" s="19">
        <v>-15.28</v>
      </c>
      <c r="AA43" s="19">
        <v>0.56000000000000005</v>
      </c>
      <c r="AB43" s="19">
        <v>-3.9089999999999998</v>
      </c>
      <c r="AC43" s="19">
        <v>9.6000000000000002E-2</v>
      </c>
      <c r="AD43" s="19">
        <f>Z43-8*AB43</f>
        <v>15.991999999999999</v>
      </c>
      <c r="AE43" s="24">
        <v>0.5</v>
      </c>
      <c r="AF43" s="24">
        <v>0.06</v>
      </c>
    </row>
    <row r="44" spans="1:32" x14ac:dyDescent="0.25">
      <c r="A44" s="8" t="s">
        <v>79</v>
      </c>
      <c r="B44" s="31">
        <v>45090</v>
      </c>
      <c r="C44" s="23">
        <v>-32.336799999999997</v>
      </c>
      <c r="D44" s="23">
        <v>18.391400000000001</v>
      </c>
      <c r="E44" s="19">
        <v>116</v>
      </c>
      <c r="F44" s="16" t="s">
        <v>38</v>
      </c>
      <c r="G44" s="18">
        <v>96</v>
      </c>
      <c r="H44" s="19">
        <v>1420</v>
      </c>
      <c r="I44" s="19">
        <v>2606</v>
      </c>
      <c r="J44" s="19">
        <v>3.48</v>
      </c>
      <c r="K44" s="19">
        <v>5.6219999999999999</v>
      </c>
      <c r="L44" s="16">
        <v>852</v>
      </c>
      <c r="M44" s="16">
        <f>SUM(N44:Y44)</f>
        <v>1587.5029999999997</v>
      </c>
      <c r="N44" s="17">
        <v>422.4</v>
      </c>
      <c r="O44" s="17">
        <v>5.6260000000000003</v>
      </c>
      <c r="P44" s="17">
        <v>65.11</v>
      </c>
      <c r="Q44" s="17">
        <v>28.75</v>
      </c>
      <c r="R44" s="18">
        <v>937.50699999999995</v>
      </c>
      <c r="S44" s="18">
        <v>92.478999999999999</v>
      </c>
      <c r="T44" s="19">
        <v>14.6</v>
      </c>
      <c r="U44" s="18">
        <v>0.41799999999999998</v>
      </c>
      <c r="V44" s="18">
        <v>18.021000000000001</v>
      </c>
      <c r="W44" s="18" t="s">
        <v>34</v>
      </c>
      <c r="X44" s="18">
        <v>2.5419999999999998</v>
      </c>
      <c r="Y44" s="30">
        <v>0.05</v>
      </c>
      <c r="Z44" s="19">
        <v>-15.73</v>
      </c>
      <c r="AA44" s="19">
        <v>0.62</v>
      </c>
      <c r="AB44" s="19">
        <v>-4.1529999999999996</v>
      </c>
      <c r="AC44" s="19">
        <v>9.1999999999999998E-2</v>
      </c>
      <c r="AD44" s="19">
        <f>Z44-8*AB44</f>
        <v>17.493999999999996</v>
      </c>
      <c r="AE44" s="19" t="s">
        <v>34</v>
      </c>
      <c r="AF44" s="19" t="s">
        <v>34</v>
      </c>
    </row>
    <row r="45" spans="1:32" x14ac:dyDescent="0.25">
      <c r="A45" s="8" t="s">
        <v>80</v>
      </c>
      <c r="B45" s="31">
        <v>45090</v>
      </c>
      <c r="C45" s="23">
        <v>-32.349299999999999</v>
      </c>
      <c r="D45" s="23">
        <v>18.4482</v>
      </c>
      <c r="E45" s="19">
        <v>3</v>
      </c>
      <c r="F45" s="16" t="s">
        <v>49</v>
      </c>
      <c r="G45" s="18">
        <v>14</v>
      </c>
      <c r="H45" s="19">
        <v>542</v>
      </c>
      <c r="I45" s="19">
        <v>460.4</v>
      </c>
      <c r="J45" s="19">
        <v>3.01</v>
      </c>
      <c r="K45" s="19">
        <v>5.4640000000000004</v>
      </c>
      <c r="L45" s="16">
        <v>33</v>
      </c>
      <c r="M45" s="16">
        <f>SUM(N45:Y45)</f>
        <v>258.346</v>
      </c>
      <c r="N45" s="17">
        <v>58.2</v>
      </c>
      <c r="O45" s="17">
        <v>3.1629999999999998</v>
      </c>
      <c r="P45" s="17">
        <v>12.6</v>
      </c>
      <c r="Q45" s="17">
        <v>6.6479999999999997</v>
      </c>
      <c r="R45" s="18">
        <v>135.809</v>
      </c>
      <c r="S45" s="18">
        <v>11.124000000000001</v>
      </c>
      <c r="T45" s="19">
        <v>6.9</v>
      </c>
      <c r="U45" s="30">
        <v>0.1</v>
      </c>
      <c r="V45" s="18">
        <v>23.302</v>
      </c>
      <c r="W45" s="18" t="s">
        <v>34</v>
      </c>
      <c r="X45" s="18">
        <v>0.41699999999999998</v>
      </c>
      <c r="Y45" s="18">
        <v>8.3000000000000004E-2</v>
      </c>
      <c r="Z45" s="19">
        <v>-13.94</v>
      </c>
      <c r="AA45" s="19">
        <v>0.24</v>
      </c>
      <c r="AB45" s="19">
        <v>-3.67</v>
      </c>
      <c r="AC45" s="19">
        <v>9.1999999999999998E-2</v>
      </c>
      <c r="AD45" s="19">
        <f>Z45-8*AB45</f>
        <v>15.42</v>
      </c>
      <c r="AE45" s="24">
        <v>0.5</v>
      </c>
      <c r="AF45" s="24">
        <v>0.06</v>
      </c>
    </row>
    <row r="46" spans="1:32" x14ac:dyDescent="0.25">
      <c r="A46" s="8" t="s">
        <v>81</v>
      </c>
      <c r="B46" s="31">
        <v>45090</v>
      </c>
      <c r="C46" s="23">
        <v>-32.3491</v>
      </c>
      <c r="D46" s="23">
        <v>18.448499999999999</v>
      </c>
      <c r="E46" s="19">
        <v>3</v>
      </c>
      <c r="F46" s="16" t="s">
        <v>49</v>
      </c>
      <c r="G46" s="19">
        <v>7</v>
      </c>
      <c r="H46" s="19">
        <v>1002</v>
      </c>
      <c r="I46" s="19" t="s">
        <v>34</v>
      </c>
      <c r="J46" s="19">
        <v>3.22</v>
      </c>
      <c r="K46" s="19" t="s">
        <v>34</v>
      </c>
      <c r="L46" s="16">
        <v>604</v>
      </c>
      <c r="M46" s="16" t="s">
        <v>34</v>
      </c>
      <c r="N46" s="19" t="s">
        <v>34</v>
      </c>
      <c r="O46" s="19" t="s">
        <v>34</v>
      </c>
      <c r="P46" s="19" t="s">
        <v>34</v>
      </c>
      <c r="Q46" s="19" t="s">
        <v>34</v>
      </c>
      <c r="R46" s="19" t="s">
        <v>34</v>
      </c>
      <c r="S46" s="19" t="s">
        <v>34</v>
      </c>
      <c r="T46" s="19" t="s">
        <v>34</v>
      </c>
      <c r="U46" s="19" t="s">
        <v>34</v>
      </c>
      <c r="V46" s="19" t="s">
        <v>34</v>
      </c>
      <c r="W46" s="19" t="s">
        <v>34</v>
      </c>
      <c r="X46" s="19" t="s">
        <v>34</v>
      </c>
      <c r="Y46" s="19" t="s">
        <v>34</v>
      </c>
      <c r="Z46" s="19">
        <v>-13.820111245192491</v>
      </c>
      <c r="AA46" s="19">
        <v>0.12498066517132429</v>
      </c>
      <c r="AB46" s="19">
        <v>-3.0990962988216908</v>
      </c>
      <c r="AC46" s="19">
        <v>3.1155523854794358E-2</v>
      </c>
      <c r="AD46" s="19">
        <v>9.0515000000000008</v>
      </c>
      <c r="AE46" s="24">
        <v>0.5</v>
      </c>
      <c r="AF46" s="24">
        <v>0.06</v>
      </c>
    </row>
    <row r="47" spans="1:32" x14ac:dyDescent="0.25">
      <c r="A47" s="8" t="s">
        <v>82</v>
      </c>
      <c r="B47" s="31">
        <v>45091</v>
      </c>
      <c r="C47" s="23">
        <v>-32.36206</v>
      </c>
      <c r="D47" s="23">
        <v>18.455673999999998</v>
      </c>
      <c r="E47" s="19">
        <v>33</v>
      </c>
      <c r="F47" s="16" t="s">
        <v>49</v>
      </c>
      <c r="G47" s="18">
        <v>15</v>
      </c>
      <c r="H47" s="19">
        <v>798</v>
      </c>
      <c r="I47" s="19">
        <v>678.6</v>
      </c>
      <c r="J47" s="19">
        <v>3.8</v>
      </c>
      <c r="K47" s="19">
        <v>5.056</v>
      </c>
      <c r="L47" s="16">
        <v>474</v>
      </c>
      <c r="M47" s="16">
        <f>SUM(N47:Y47)</f>
        <v>397.38699999999994</v>
      </c>
      <c r="N47" s="17">
        <v>81.45</v>
      </c>
      <c r="O47" s="17">
        <v>4.0910000000000002</v>
      </c>
      <c r="P47" s="17">
        <v>21.32</v>
      </c>
      <c r="Q47" s="17">
        <v>12.09</v>
      </c>
      <c r="R47" s="18">
        <v>182.14699999999999</v>
      </c>
      <c r="S47" s="18">
        <v>5.7409999999999997</v>
      </c>
      <c r="T47" s="19">
        <v>5.9</v>
      </c>
      <c r="U47" s="30">
        <v>0.1</v>
      </c>
      <c r="V47" s="18">
        <v>83.75</v>
      </c>
      <c r="W47" s="18" t="s">
        <v>34</v>
      </c>
      <c r="X47" s="18">
        <v>0.53200000000000003</v>
      </c>
      <c r="Y47" s="18">
        <v>0.26600000000000001</v>
      </c>
      <c r="Z47" s="19">
        <v>-13.46</v>
      </c>
      <c r="AA47" s="19">
        <v>0.46</v>
      </c>
      <c r="AB47" s="19">
        <v>-3.512</v>
      </c>
      <c r="AC47" s="19">
        <v>2.5000000000000001E-2</v>
      </c>
      <c r="AD47" s="19">
        <f>Z47-8*AB47</f>
        <v>14.635999999999999</v>
      </c>
      <c r="AE47" s="24">
        <v>0.5</v>
      </c>
      <c r="AF47" s="24">
        <v>0.06</v>
      </c>
    </row>
    <row r="48" spans="1:32" x14ac:dyDescent="0.25">
      <c r="A48" s="8" t="s">
        <v>83</v>
      </c>
      <c r="B48" s="31">
        <v>45091</v>
      </c>
      <c r="C48" s="23">
        <v>-32.513199999999998</v>
      </c>
      <c r="D48" s="23">
        <v>18.561800000000002</v>
      </c>
      <c r="E48" s="19">
        <v>25</v>
      </c>
      <c r="F48" s="16" t="s">
        <v>49</v>
      </c>
      <c r="G48" s="19">
        <v>27</v>
      </c>
      <c r="H48" s="19">
        <v>858</v>
      </c>
      <c r="I48" s="19" t="s">
        <v>34</v>
      </c>
      <c r="J48" s="19">
        <v>3.24</v>
      </c>
      <c r="K48" s="19" t="s">
        <v>34</v>
      </c>
      <c r="L48" s="16">
        <v>519</v>
      </c>
      <c r="M48" s="16" t="s">
        <v>34</v>
      </c>
      <c r="N48" s="19" t="s">
        <v>34</v>
      </c>
      <c r="O48" s="19" t="s">
        <v>34</v>
      </c>
      <c r="P48" s="19" t="s">
        <v>34</v>
      </c>
      <c r="Q48" s="19" t="s">
        <v>34</v>
      </c>
      <c r="R48" s="19" t="s">
        <v>34</v>
      </c>
      <c r="S48" s="19" t="s">
        <v>34</v>
      </c>
      <c r="T48" s="19" t="s">
        <v>34</v>
      </c>
      <c r="U48" s="19" t="s">
        <v>34</v>
      </c>
      <c r="V48" s="19" t="s">
        <v>34</v>
      </c>
      <c r="W48" s="19" t="s">
        <v>34</v>
      </c>
      <c r="X48" s="19" t="s">
        <v>34</v>
      </c>
      <c r="Y48" s="19" t="s">
        <v>34</v>
      </c>
      <c r="Z48" s="19" t="s">
        <v>34</v>
      </c>
      <c r="AA48" s="19" t="s">
        <v>34</v>
      </c>
      <c r="AB48" s="19" t="s">
        <v>34</v>
      </c>
      <c r="AC48" s="19" t="s">
        <v>34</v>
      </c>
      <c r="AD48" s="19" t="s">
        <v>34</v>
      </c>
      <c r="AE48" s="24">
        <v>0.5</v>
      </c>
      <c r="AF48" s="24">
        <v>0.06</v>
      </c>
    </row>
    <row r="49" spans="1:32" x14ac:dyDescent="0.25">
      <c r="A49" s="8" t="s">
        <v>84</v>
      </c>
      <c r="B49" s="31">
        <v>45091</v>
      </c>
      <c r="C49" s="23">
        <v>-32.502389999999998</v>
      </c>
      <c r="D49" s="23">
        <v>18.563258000000001</v>
      </c>
      <c r="E49" s="19">
        <v>22</v>
      </c>
      <c r="F49" s="16" t="s">
        <v>49</v>
      </c>
      <c r="G49" s="18">
        <v>20</v>
      </c>
      <c r="H49" s="19">
        <v>509</v>
      </c>
      <c r="I49" s="19">
        <v>420.4</v>
      </c>
      <c r="J49" s="19">
        <v>3</v>
      </c>
      <c r="K49" s="19">
        <v>5.806</v>
      </c>
      <c r="L49" s="16">
        <v>306</v>
      </c>
      <c r="M49" s="16">
        <f>SUM(N49:Y49)</f>
        <v>241.67799999999997</v>
      </c>
      <c r="N49" s="17">
        <v>57.69</v>
      </c>
      <c r="O49" s="17">
        <v>2.3570000000000002</v>
      </c>
      <c r="P49" s="17">
        <v>11.15</v>
      </c>
      <c r="Q49" s="17">
        <v>8.0489999999999995</v>
      </c>
      <c r="R49" s="18">
        <v>106.574</v>
      </c>
      <c r="S49" s="18">
        <v>22.091999999999999</v>
      </c>
      <c r="T49" s="19">
        <v>11.6</v>
      </c>
      <c r="U49" s="30">
        <v>0.1</v>
      </c>
      <c r="V49" s="18">
        <v>21.678000000000001</v>
      </c>
      <c r="W49" s="18" t="s">
        <v>34</v>
      </c>
      <c r="X49" s="18">
        <v>0.33800000000000002</v>
      </c>
      <c r="Y49" s="30">
        <v>0.05</v>
      </c>
      <c r="Z49" s="19">
        <v>-17.48</v>
      </c>
      <c r="AA49" s="19">
        <v>0.95</v>
      </c>
      <c r="AB49" s="19">
        <v>-4.1920000000000002</v>
      </c>
      <c r="AC49" s="19">
        <v>3.0000000000000001E-3</v>
      </c>
      <c r="AD49" s="19">
        <f>Z49-8*AB49</f>
        <v>16.056000000000001</v>
      </c>
      <c r="AE49" s="24">
        <v>0.5</v>
      </c>
      <c r="AF49" s="24">
        <v>0.06</v>
      </c>
    </row>
    <row r="50" spans="1:32" x14ac:dyDescent="0.25">
      <c r="A50" s="8" t="s">
        <v>85</v>
      </c>
      <c r="B50" s="31">
        <v>45090</v>
      </c>
      <c r="C50" s="23">
        <v>-32.298543000000002</v>
      </c>
      <c r="D50" s="23">
        <v>18.615545999999998</v>
      </c>
      <c r="E50" s="19">
        <v>98</v>
      </c>
      <c r="F50" s="16" t="s">
        <v>33</v>
      </c>
      <c r="G50" s="18">
        <v>113</v>
      </c>
      <c r="H50" s="19">
        <v>3680</v>
      </c>
      <c r="I50" s="19">
        <v>3087</v>
      </c>
      <c r="J50" s="19">
        <v>4.8</v>
      </c>
      <c r="K50" s="19">
        <v>5.5039999999999996</v>
      </c>
      <c r="L50" s="16">
        <v>2200</v>
      </c>
      <c r="M50" s="16">
        <f>SUM(N50:Y50)</f>
        <v>1877.329</v>
      </c>
      <c r="N50" s="17">
        <v>463.1</v>
      </c>
      <c r="O50" s="17">
        <v>7.484</v>
      </c>
      <c r="P50" s="17">
        <v>106.7</v>
      </c>
      <c r="Q50" s="17">
        <v>39.520000000000003</v>
      </c>
      <c r="R50" s="18">
        <v>1089.04</v>
      </c>
      <c r="S50" s="18">
        <v>85.513999999999996</v>
      </c>
      <c r="T50" s="19">
        <v>12.9</v>
      </c>
      <c r="U50" s="30">
        <v>0.1</v>
      </c>
      <c r="V50" s="18">
        <v>69.905000000000001</v>
      </c>
      <c r="W50" s="18" t="s">
        <v>34</v>
      </c>
      <c r="X50" s="18">
        <v>3.016</v>
      </c>
      <c r="Y50" s="30">
        <v>0.05</v>
      </c>
      <c r="Z50" s="19">
        <v>-16.649999999999999</v>
      </c>
      <c r="AA50" s="19">
        <v>0.33</v>
      </c>
      <c r="AB50" s="19">
        <v>-4.0549999999999997</v>
      </c>
      <c r="AC50" s="19">
        <v>7.1999999999999995E-2</v>
      </c>
      <c r="AD50" s="19">
        <f>Z50-8*AB50</f>
        <v>15.79</v>
      </c>
      <c r="AE50" s="24">
        <v>0.5</v>
      </c>
      <c r="AF50" s="24">
        <v>0.06</v>
      </c>
    </row>
    <row r="51" spans="1:32" x14ac:dyDescent="0.25">
      <c r="A51" s="8" t="s">
        <v>86</v>
      </c>
      <c r="B51" s="31">
        <v>45090</v>
      </c>
      <c r="C51" s="23">
        <v>-32.296385000000001</v>
      </c>
      <c r="D51" s="23">
        <v>18.605551999999999</v>
      </c>
      <c r="E51" s="19">
        <v>46</v>
      </c>
      <c r="F51" s="16" t="s">
        <v>33</v>
      </c>
      <c r="G51" s="18">
        <v>110</v>
      </c>
      <c r="H51" s="19">
        <v>1536</v>
      </c>
      <c r="I51" s="19">
        <v>1244</v>
      </c>
      <c r="J51" s="19">
        <v>4.95</v>
      </c>
      <c r="K51" s="19">
        <v>5.5709999999999997</v>
      </c>
      <c r="L51" s="16">
        <v>913</v>
      </c>
      <c r="M51" s="16">
        <f>SUM(N51:Y51)</f>
        <v>722.46100000000001</v>
      </c>
      <c r="N51" s="17">
        <v>170.4</v>
      </c>
      <c r="O51" s="17">
        <v>4.3280000000000003</v>
      </c>
      <c r="P51" s="17">
        <v>41.32</v>
      </c>
      <c r="Q51" s="17">
        <v>18.829999999999998</v>
      </c>
      <c r="R51" s="18">
        <v>440.21300000000002</v>
      </c>
      <c r="S51" s="18">
        <v>16.512</v>
      </c>
      <c r="T51" s="19">
        <v>10.9</v>
      </c>
      <c r="U51" s="18">
        <v>0.20499999999999999</v>
      </c>
      <c r="V51" s="18">
        <v>18.456</v>
      </c>
      <c r="W51" s="18" t="s">
        <v>34</v>
      </c>
      <c r="X51" s="18">
        <v>1.2470000000000001</v>
      </c>
      <c r="Y51" s="30">
        <v>0.05</v>
      </c>
      <c r="Z51" s="19">
        <v>-18.010000000000002</v>
      </c>
      <c r="AA51" s="19">
        <v>0.62</v>
      </c>
      <c r="AB51" s="19">
        <v>-4.4429999999999996</v>
      </c>
      <c r="AC51" s="19">
        <v>0.05</v>
      </c>
      <c r="AD51" s="19">
        <f>Z51-8*AB51</f>
        <v>17.533999999999995</v>
      </c>
      <c r="AE51" s="24">
        <v>0.5</v>
      </c>
      <c r="AF51" s="24">
        <v>0.06</v>
      </c>
    </row>
    <row r="52" spans="1:32" x14ac:dyDescent="0.25">
      <c r="A52" s="8" t="s">
        <v>87</v>
      </c>
      <c r="B52" s="31">
        <v>45090</v>
      </c>
      <c r="C52" s="23">
        <v>-32.291800000000002</v>
      </c>
      <c r="D52" s="23">
        <v>18.5365</v>
      </c>
      <c r="E52" s="19" t="s">
        <v>34</v>
      </c>
      <c r="F52" s="16" t="s">
        <v>33</v>
      </c>
      <c r="G52" s="18">
        <v>246</v>
      </c>
      <c r="H52" s="19">
        <v>447</v>
      </c>
      <c r="I52" s="19">
        <v>413.5</v>
      </c>
      <c r="J52" s="19">
        <v>4.74</v>
      </c>
      <c r="K52" s="19">
        <v>5.673</v>
      </c>
      <c r="L52" s="16">
        <v>271</v>
      </c>
      <c r="M52" s="16">
        <f>SUM(N52:Y52)</f>
        <v>232.14699999999999</v>
      </c>
      <c r="N52" s="17">
        <v>58.23</v>
      </c>
      <c r="O52" s="17">
        <v>1.1279999999999999</v>
      </c>
      <c r="P52" s="17">
        <v>9.6280000000000001</v>
      </c>
      <c r="Q52" s="17">
        <v>4.4980000000000002</v>
      </c>
      <c r="R52" s="18">
        <v>123.125</v>
      </c>
      <c r="S52" s="18">
        <v>13.084</v>
      </c>
      <c r="T52" s="19">
        <v>7.1</v>
      </c>
      <c r="U52" s="30">
        <v>0.1</v>
      </c>
      <c r="V52" s="18">
        <v>14.843999999999999</v>
      </c>
      <c r="W52" s="18" t="s">
        <v>34</v>
      </c>
      <c r="X52" s="18">
        <v>0.36</v>
      </c>
      <c r="Y52" s="30">
        <v>0.05</v>
      </c>
      <c r="Z52" s="19">
        <v>-17.350000000000001</v>
      </c>
      <c r="AA52" s="19">
        <v>0.55000000000000004</v>
      </c>
      <c r="AB52" s="19">
        <v>-4.3280000000000003</v>
      </c>
      <c r="AC52" s="19">
        <v>8.3000000000000004E-2</v>
      </c>
      <c r="AD52" s="19">
        <f>Z52-8*AB52</f>
        <v>17.274000000000001</v>
      </c>
      <c r="AE52" s="24">
        <v>0.5</v>
      </c>
      <c r="AF52" s="24">
        <v>0.06</v>
      </c>
    </row>
    <row r="53" spans="1:32" x14ac:dyDescent="0.25">
      <c r="A53" s="8" t="s">
        <v>88</v>
      </c>
      <c r="B53" s="31">
        <v>45090</v>
      </c>
      <c r="C53" s="23">
        <v>-32.2898</v>
      </c>
      <c r="D53" s="23">
        <v>18.5654</v>
      </c>
      <c r="E53" s="19" t="s">
        <v>34</v>
      </c>
      <c r="F53" s="16" t="s">
        <v>33</v>
      </c>
      <c r="G53" s="18">
        <v>99</v>
      </c>
      <c r="H53" s="19">
        <v>1507</v>
      </c>
      <c r="I53" s="19" t="s">
        <v>34</v>
      </c>
      <c r="J53" s="19">
        <v>4.13</v>
      </c>
      <c r="K53" s="19" t="s">
        <v>34</v>
      </c>
      <c r="L53" s="16">
        <v>900</v>
      </c>
      <c r="M53" s="16" t="s">
        <v>34</v>
      </c>
      <c r="N53" s="19" t="s">
        <v>34</v>
      </c>
      <c r="O53" s="19" t="s">
        <v>34</v>
      </c>
      <c r="P53" s="19" t="s">
        <v>34</v>
      </c>
      <c r="Q53" s="19" t="s">
        <v>34</v>
      </c>
      <c r="R53" s="19" t="s">
        <v>34</v>
      </c>
      <c r="S53" s="19" t="s">
        <v>34</v>
      </c>
      <c r="T53" s="19" t="s">
        <v>34</v>
      </c>
      <c r="U53" s="19" t="s">
        <v>34</v>
      </c>
      <c r="V53" s="19" t="s">
        <v>34</v>
      </c>
      <c r="W53" s="19" t="s">
        <v>34</v>
      </c>
      <c r="X53" s="19" t="s">
        <v>34</v>
      </c>
      <c r="Y53" s="19" t="s">
        <v>34</v>
      </c>
      <c r="Z53" s="19">
        <v>-13.997298197394636</v>
      </c>
      <c r="AA53" s="19">
        <v>0.16418455063332468</v>
      </c>
      <c r="AB53" s="19">
        <v>-3.1453371852605052</v>
      </c>
      <c r="AC53" s="19">
        <v>2.4854912324662689E-2</v>
      </c>
      <c r="AD53" s="19">
        <v>9.230833333333333</v>
      </c>
      <c r="AE53" s="24">
        <v>0.5</v>
      </c>
      <c r="AF53" s="24">
        <v>0.06</v>
      </c>
    </row>
    <row r="54" spans="1:32" x14ac:dyDescent="0.25">
      <c r="A54" s="8" t="s">
        <v>89</v>
      </c>
      <c r="B54" s="31">
        <v>45090</v>
      </c>
      <c r="C54" s="29">
        <v>-32.212499000000001</v>
      </c>
      <c r="D54" s="23">
        <v>18.489000000000001</v>
      </c>
      <c r="E54" s="19">
        <v>50</v>
      </c>
      <c r="F54" s="16" t="s">
        <v>33</v>
      </c>
      <c r="G54" s="18">
        <v>83</v>
      </c>
      <c r="H54" s="19">
        <v>944</v>
      </c>
      <c r="I54" s="19">
        <v>855.5</v>
      </c>
      <c r="J54" s="19">
        <v>5.5</v>
      </c>
      <c r="K54" s="19">
        <v>5.8390000000000004</v>
      </c>
      <c r="L54" s="16">
        <v>565</v>
      </c>
      <c r="M54" s="16">
        <f>SUM(N54:Y54)</f>
        <v>482.39300000000003</v>
      </c>
      <c r="N54" s="17">
        <v>123.4</v>
      </c>
      <c r="O54" s="17">
        <v>2.4500000000000002</v>
      </c>
      <c r="P54" s="17">
        <v>22.66</v>
      </c>
      <c r="Q54" s="17">
        <v>9.6300000000000008</v>
      </c>
      <c r="R54" s="18">
        <v>284.17899999999997</v>
      </c>
      <c r="S54" s="18">
        <v>21.463000000000001</v>
      </c>
      <c r="T54" s="19">
        <v>13.8</v>
      </c>
      <c r="U54" s="30">
        <v>0.1</v>
      </c>
      <c r="V54" s="18">
        <v>3.8490000000000002</v>
      </c>
      <c r="W54" s="18" t="s">
        <v>34</v>
      </c>
      <c r="X54" s="18">
        <v>0.81200000000000006</v>
      </c>
      <c r="Y54" s="30">
        <v>0.05</v>
      </c>
      <c r="Z54" s="19">
        <v>-18.78</v>
      </c>
      <c r="AA54" s="19">
        <v>0.84</v>
      </c>
      <c r="AB54" s="19">
        <v>-4.649</v>
      </c>
      <c r="AC54" s="19">
        <v>5.7000000000000002E-2</v>
      </c>
      <c r="AD54" s="19">
        <f>Z54-8*AB54</f>
        <v>18.411999999999999</v>
      </c>
      <c r="AE54" s="24">
        <v>0.5</v>
      </c>
      <c r="AF54" s="24">
        <v>0.06</v>
      </c>
    </row>
    <row r="55" spans="1:32" x14ac:dyDescent="0.25">
      <c r="A55" s="8" t="s">
        <v>90</v>
      </c>
      <c r="B55" s="31">
        <v>45090</v>
      </c>
      <c r="C55" s="29">
        <v>-32.235922000000002</v>
      </c>
      <c r="D55" s="23">
        <v>18.504200000000001</v>
      </c>
      <c r="E55" s="19">
        <v>180</v>
      </c>
      <c r="F55" s="16" t="s">
        <v>33</v>
      </c>
      <c r="G55" s="18">
        <v>87</v>
      </c>
      <c r="H55" s="19">
        <v>2190</v>
      </c>
      <c r="I55" s="19" t="s">
        <v>34</v>
      </c>
      <c r="J55" s="19">
        <v>4.4800000000000004</v>
      </c>
      <c r="K55" s="19" t="s">
        <v>34</v>
      </c>
      <c r="L55" s="16">
        <v>1330</v>
      </c>
      <c r="M55" s="16" t="s">
        <v>34</v>
      </c>
      <c r="N55" s="19" t="s">
        <v>34</v>
      </c>
      <c r="O55" s="19" t="s">
        <v>34</v>
      </c>
      <c r="P55" s="19" t="s">
        <v>34</v>
      </c>
      <c r="Q55" s="19" t="s">
        <v>34</v>
      </c>
      <c r="R55" s="19" t="s">
        <v>34</v>
      </c>
      <c r="S55" s="19" t="s">
        <v>34</v>
      </c>
      <c r="T55" s="19" t="s">
        <v>34</v>
      </c>
      <c r="U55" s="19" t="s">
        <v>34</v>
      </c>
      <c r="V55" s="19" t="s">
        <v>34</v>
      </c>
      <c r="W55" s="19" t="s">
        <v>34</v>
      </c>
      <c r="X55" s="19" t="s">
        <v>34</v>
      </c>
      <c r="Y55" s="19" t="s">
        <v>34</v>
      </c>
      <c r="Z55" s="19" t="s">
        <v>34</v>
      </c>
      <c r="AA55" s="19" t="s">
        <v>34</v>
      </c>
      <c r="AB55" s="19" t="s">
        <v>34</v>
      </c>
      <c r="AC55" s="19" t="s">
        <v>34</v>
      </c>
      <c r="AD55" s="19" t="s">
        <v>34</v>
      </c>
      <c r="AE55" s="24">
        <v>0.9</v>
      </c>
      <c r="AF55" s="28">
        <v>0.08</v>
      </c>
    </row>
    <row r="56" spans="1:32" x14ac:dyDescent="0.25">
      <c r="A56" s="25" t="s">
        <v>91</v>
      </c>
      <c r="B56" s="31">
        <v>45089</v>
      </c>
      <c r="C56" s="10">
        <v>-32.430473999999997</v>
      </c>
      <c r="D56" s="23">
        <v>18.804500000000001</v>
      </c>
      <c r="E56" s="19">
        <v>152</v>
      </c>
      <c r="F56" s="16" t="s">
        <v>33</v>
      </c>
      <c r="G56" s="19">
        <v>152</v>
      </c>
      <c r="H56" s="19">
        <v>338</v>
      </c>
      <c r="I56" s="19">
        <v>295.10000000000002</v>
      </c>
      <c r="J56" s="19">
        <v>5.2</v>
      </c>
      <c r="K56" s="19">
        <v>5.444</v>
      </c>
      <c r="L56" s="16">
        <v>199</v>
      </c>
      <c r="M56" s="16">
        <f>SUM(N56:Y56)</f>
        <v>159.14449999999999</v>
      </c>
      <c r="N56" s="17">
        <v>40.950000000000003</v>
      </c>
      <c r="O56" s="17">
        <v>0.78249999999999997</v>
      </c>
      <c r="P56" s="17">
        <v>6.51</v>
      </c>
      <c r="Q56" s="17">
        <v>2.931</v>
      </c>
      <c r="R56" s="18">
        <v>88.415000000000006</v>
      </c>
      <c r="S56" s="18">
        <v>5.524</v>
      </c>
      <c r="T56" s="19">
        <v>6.9</v>
      </c>
      <c r="U56" s="30">
        <v>0.1</v>
      </c>
      <c r="V56" s="18">
        <v>6.6909999999999998</v>
      </c>
      <c r="W56" s="18" t="s">
        <v>34</v>
      </c>
      <c r="X56" s="18">
        <v>0.28399999999999997</v>
      </c>
      <c r="Y56" s="18">
        <v>5.7000000000000002E-2</v>
      </c>
      <c r="Z56" s="19">
        <v>-19.489999999999998</v>
      </c>
      <c r="AA56" s="19">
        <v>0.79</v>
      </c>
      <c r="AB56" s="19">
        <v>-4.7629999999999999</v>
      </c>
      <c r="AC56" s="19">
        <v>5.3999999999999999E-2</v>
      </c>
      <c r="AD56" s="19">
        <f>Z56-8*AB56</f>
        <v>18.614000000000001</v>
      </c>
      <c r="AE56" s="24">
        <v>0.5</v>
      </c>
      <c r="AF56" s="24">
        <v>0.06</v>
      </c>
    </row>
    <row r="57" spans="1:32" x14ac:dyDescent="0.25">
      <c r="A57" s="25" t="s">
        <v>92</v>
      </c>
      <c r="B57" s="31">
        <v>45089</v>
      </c>
      <c r="C57" s="10">
        <v>-32.43524</v>
      </c>
      <c r="D57" s="10">
        <v>18.800789999999999</v>
      </c>
      <c r="E57" s="19">
        <v>80</v>
      </c>
      <c r="F57" s="16" t="s">
        <v>33</v>
      </c>
      <c r="G57" s="18">
        <v>264</v>
      </c>
      <c r="H57" s="19">
        <v>654</v>
      </c>
      <c r="I57" s="19" t="s">
        <v>34</v>
      </c>
      <c r="J57" s="19">
        <v>4.7699999999999996</v>
      </c>
      <c r="K57" s="19" t="s">
        <v>34</v>
      </c>
      <c r="L57" s="16">
        <v>591</v>
      </c>
      <c r="M57" s="16" t="s">
        <v>34</v>
      </c>
      <c r="N57" s="19" t="s">
        <v>34</v>
      </c>
      <c r="O57" s="19" t="s">
        <v>34</v>
      </c>
      <c r="P57" s="19" t="s">
        <v>34</v>
      </c>
      <c r="Q57" s="19" t="s">
        <v>34</v>
      </c>
      <c r="R57" s="19" t="s">
        <v>34</v>
      </c>
      <c r="S57" s="19" t="s">
        <v>34</v>
      </c>
      <c r="T57" s="19" t="s">
        <v>34</v>
      </c>
      <c r="U57" s="19" t="s">
        <v>34</v>
      </c>
      <c r="V57" s="19" t="s">
        <v>34</v>
      </c>
      <c r="W57" s="19" t="s">
        <v>34</v>
      </c>
      <c r="X57" s="19" t="s">
        <v>34</v>
      </c>
      <c r="Y57" s="19" t="s">
        <v>34</v>
      </c>
      <c r="Z57" s="19" t="s">
        <v>34</v>
      </c>
      <c r="AA57" s="19" t="s">
        <v>34</v>
      </c>
      <c r="AB57" s="19" t="s">
        <v>34</v>
      </c>
      <c r="AC57" s="19" t="s">
        <v>34</v>
      </c>
      <c r="AD57" s="19" t="s">
        <v>34</v>
      </c>
      <c r="AE57" s="24">
        <v>0.5</v>
      </c>
      <c r="AF57" s="24">
        <v>0.06</v>
      </c>
    </row>
    <row r="58" spans="1:32" x14ac:dyDescent="0.25">
      <c r="A58" s="25" t="s">
        <v>93</v>
      </c>
      <c r="B58" s="31">
        <v>45089</v>
      </c>
      <c r="C58" s="10">
        <v>-32.443530000000003</v>
      </c>
      <c r="D58" s="23">
        <v>18.814699999999998</v>
      </c>
      <c r="E58" s="19">
        <v>118</v>
      </c>
      <c r="F58" s="16" t="s">
        <v>33</v>
      </c>
      <c r="G58" s="18">
        <v>340</v>
      </c>
      <c r="H58" s="19">
        <v>343</v>
      </c>
      <c r="I58" s="19" t="s">
        <v>34</v>
      </c>
      <c r="J58" s="19">
        <v>4.6900000000000004</v>
      </c>
      <c r="K58" s="19" t="s">
        <v>34</v>
      </c>
      <c r="L58" s="16">
        <v>207</v>
      </c>
      <c r="M58" s="16" t="s">
        <v>34</v>
      </c>
      <c r="N58" s="19" t="s">
        <v>34</v>
      </c>
      <c r="O58" s="19" t="s">
        <v>34</v>
      </c>
      <c r="P58" s="19" t="s">
        <v>34</v>
      </c>
      <c r="Q58" s="19" t="s">
        <v>34</v>
      </c>
      <c r="R58" s="19" t="s">
        <v>34</v>
      </c>
      <c r="S58" s="19" t="s">
        <v>34</v>
      </c>
      <c r="T58" s="19" t="s">
        <v>34</v>
      </c>
      <c r="U58" s="19" t="s">
        <v>34</v>
      </c>
      <c r="V58" s="19" t="s">
        <v>34</v>
      </c>
      <c r="W58" s="19" t="s">
        <v>34</v>
      </c>
      <c r="X58" s="19" t="s">
        <v>34</v>
      </c>
      <c r="Y58" s="19" t="s">
        <v>34</v>
      </c>
      <c r="Z58" s="19" t="s">
        <v>34</v>
      </c>
      <c r="AA58" s="19" t="s">
        <v>34</v>
      </c>
      <c r="AB58" s="19" t="s">
        <v>34</v>
      </c>
      <c r="AC58" s="19" t="s">
        <v>34</v>
      </c>
      <c r="AD58" s="19" t="s">
        <v>34</v>
      </c>
      <c r="AE58" s="24">
        <v>0.5</v>
      </c>
      <c r="AF58" s="24">
        <v>0.06</v>
      </c>
    </row>
    <row r="59" spans="1:32" x14ac:dyDescent="0.25">
      <c r="A59" s="25" t="s">
        <v>94</v>
      </c>
      <c r="B59" s="31">
        <v>45089</v>
      </c>
      <c r="C59" s="10">
        <v>-32.441130000000001</v>
      </c>
      <c r="D59" s="23">
        <v>18.7849</v>
      </c>
      <c r="E59" s="19">
        <v>80</v>
      </c>
      <c r="F59" s="16" t="s">
        <v>33</v>
      </c>
      <c r="G59" s="18">
        <v>229</v>
      </c>
      <c r="H59" s="19">
        <v>333</v>
      </c>
      <c r="I59" s="19" t="s">
        <v>34</v>
      </c>
      <c r="J59" s="19">
        <v>5.84</v>
      </c>
      <c r="K59" s="19" t="s">
        <v>34</v>
      </c>
      <c r="L59" s="16">
        <v>202</v>
      </c>
      <c r="M59" s="16" t="s">
        <v>34</v>
      </c>
      <c r="N59" s="19" t="s">
        <v>34</v>
      </c>
      <c r="O59" s="19" t="s">
        <v>34</v>
      </c>
      <c r="P59" s="19" t="s">
        <v>34</v>
      </c>
      <c r="Q59" s="19" t="s">
        <v>34</v>
      </c>
      <c r="R59" s="19" t="s">
        <v>34</v>
      </c>
      <c r="S59" s="19" t="s">
        <v>34</v>
      </c>
      <c r="T59" s="19" t="s">
        <v>34</v>
      </c>
      <c r="U59" s="19" t="s">
        <v>34</v>
      </c>
      <c r="V59" s="19" t="s">
        <v>34</v>
      </c>
      <c r="W59" s="19" t="s">
        <v>34</v>
      </c>
      <c r="X59" s="19" t="s">
        <v>34</v>
      </c>
      <c r="Y59" s="19" t="s">
        <v>34</v>
      </c>
      <c r="Z59" s="19" t="s">
        <v>34</v>
      </c>
      <c r="AA59" s="19" t="s">
        <v>34</v>
      </c>
      <c r="AB59" s="19" t="s">
        <v>34</v>
      </c>
      <c r="AC59" s="19" t="s">
        <v>34</v>
      </c>
      <c r="AD59" s="19" t="s">
        <v>34</v>
      </c>
      <c r="AE59" s="24">
        <v>0.5</v>
      </c>
      <c r="AF59" s="24">
        <v>0.06</v>
      </c>
    </row>
    <row r="60" spans="1:32" x14ac:dyDescent="0.25">
      <c r="A60" s="25" t="s">
        <v>95</v>
      </c>
      <c r="B60" s="31">
        <v>45089</v>
      </c>
      <c r="C60" s="10">
        <v>-32.466805000000001</v>
      </c>
      <c r="D60" s="23">
        <v>18.7986</v>
      </c>
      <c r="E60" s="19">
        <v>170</v>
      </c>
      <c r="F60" s="16" t="s">
        <v>33</v>
      </c>
      <c r="G60" s="19">
        <v>170</v>
      </c>
      <c r="H60" s="19">
        <v>740</v>
      </c>
      <c r="I60" s="19">
        <v>639.4</v>
      </c>
      <c r="J60" s="19">
        <v>4.5599999999999996</v>
      </c>
      <c r="K60" s="19">
        <v>4.9630000000000001</v>
      </c>
      <c r="L60" s="16">
        <v>430</v>
      </c>
      <c r="M60" s="16">
        <f>SUM(N60:Y60)</f>
        <v>362.94299999999993</v>
      </c>
      <c r="N60" s="17">
        <v>85.34</v>
      </c>
      <c r="O60" s="17">
        <v>2.496</v>
      </c>
      <c r="P60" s="17">
        <v>17.88</v>
      </c>
      <c r="Q60" s="17">
        <v>10.78</v>
      </c>
      <c r="R60" s="18">
        <v>184.24799999999999</v>
      </c>
      <c r="S60" s="18">
        <v>34.765000000000001</v>
      </c>
      <c r="T60" s="19">
        <v>6.8</v>
      </c>
      <c r="U60" s="18">
        <v>0.17799999999999999</v>
      </c>
      <c r="V60" s="18">
        <v>19.774999999999999</v>
      </c>
      <c r="W60" s="18" t="s">
        <v>34</v>
      </c>
      <c r="X60" s="18">
        <v>0.51300000000000001</v>
      </c>
      <c r="Y60" s="18">
        <v>0.16800000000000001</v>
      </c>
      <c r="Z60" s="19">
        <v>-18.39</v>
      </c>
      <c r="AA60" s="19">
        <v>0.68</v>
      </c>
      <c r="AB60" s="19">
        <v>-4.718</v>
      </c>
      <c r="AC60" s="19">
        <v>6.7000000000000004E-2</v>
      </c>
      <c r="AD60" s="19">
        <f>Z60-8*AB60</f>
        <v>19.353999999999999</v>
      </c>
      <c r="AE60" s="24">
        <v>0.5</v>
      </c>
      <c r="AF60" s="24">
        <v>0.06</v>
      </c>
    </row>
    <row r="61" spans="1:32" x14ac:dyDescent="0.25">
      <c r="A61" s="25" t="s">
        <v>96</v>
      </c>
      <c r="B61" s="31">
        <v>45089</v>
      </c>
      <c r="C61" s="10">
        <v>-32.464509999999997</v>
      </c>
      <c r="D61" s="10">
        <v>18.79543</v>
      </c>
      <c r="E61" s="19">
        <v>100</v>
      </c>
      <c r="F61" s="16" t="s">
        <v>33</v>
      </c>
      <c r="G61" s="18">
        <v>216</v>
      </c>
      <c r="H61" s="19">
        <v>845</v>
      </c>
      <c r="I61" s="19" t="s">
        <v>34</v>
      </c>
      <c r="J61" s="19">
        <v>4.9000000000000004</v>
      </c>
      <c r="K61" s="19" t="s">
        <v>34</v>
      </c>
      <c r="L61" s="16">
        <v>506</v>
      </c>
      <c r="M61" s="16">
        <f>SUM(N61:Y61)</f>
        <v>0</v>
      </c>
      <c r="N61" s="19" t="s">
        <v>34</v>
      </c>
      <c r="O61" s="19" t="s">
        <v>34</v>
      </c>
      <c r="P61" s="19" t="s">
        <v>34</v>
      </c>
      <c r="Q61" s="19" t="s">
        <v>34</v>
      </c>
      <c r="R61" s="19" t="s">
        <v>34</v>
      </c>
      <c r="S61" s="19" t="s">
        <v>34</v>
      </c>
      <c r="T61" s="19" t="s">
        <v>34</v>
      </c>
      <c r="U61" s="19" t="s">
        <v>34</v>
      </c>
      <c r="V61" s="19" t="s">
        <v>34</v>
      </c>
      <c r="W61" s="19" t="s">
        <v>34</v>
      </c>
      <c r="X61" s="19" t="s">
        <v>34</v>
      </c>
      <c r="Y61" s="19" t="s">
        <v>34</v>
      </c>
      <c r="Z61" s="19" t="s">
        <v>34</v>
      </c>
      <c r="AA61" s="19" t="s">
        <v>34</v>
      </c>
      <c r="AB61" s="19" t="s">
        <v>34</v>
      </c>
      <c r="AC61" s="19" t="s">
        <v>34</v>
      </c>
      <c r="AD61" s="19" t="s">
        <v>34</v>
      </c>
      <c r="AE61" s="24">
        <v>0.5</v>
      </c>
      <c r="AF61" s="24">
        <v>0.06</v>
      </c>
    </row>
    <row r="62" spans="1:32" x14ac:dyDescent="0.25">
      <c r="A62" s="25" t="s">
        <v>97</v>
      </c>
      <c r="B62" s="31">
        <v>45089</v>
      </c>
      <c r="C62" s="10">
        <v>-32.593772999999999</v>
      </c>
      <c r="D62" s="23">
        <v>18.747599999999998</v>
      </c>
      <c r="E62" s="30">
        <v>11</v>
      </c>
      <c r="F62" s="16" t="s">
        <v>49</v>
      </c>
      <c r="G62" s="30">
        <v>11</v>
      </c>
      <c r="H62" s="19">
        <v>511</v>
      </c>
      <c r="I62" s="19">
        <v>1671</v>
      </c>
      <c r="J62" s="19">
        <v>171</v>
      </c>
      <c r="K62" s="19">
        <v>5.5049999999999999</v>
      </c>
      <c r="L62" s="16">
        <v>5.3</v>
      </c>
      <c r="M62" s="16">
        <f>SUM(N62:Y62)</f>
        <v>969.28300000000002</v>
      </c>
      <c r="N62" s="17">
        <v>238.7</v>
      </c>
      <c r="O62" s="17">
        <v>4.2919999999999998</v>
      </c>
      <c r="P62" s="17">
        <v>48.39</v>
      </c>
      <c r="Q62" s="17">
        <v>27.85</v>
      </c>
      <c r="R62" s="18">
        <v>535.96100000000001</v>
      </c>
      <c r="S62" s="18">
        <v>61.756</v>
      </c>
      <c r="T62" s="19">
        <v>15.9</v>
      </c>
      <c r="U62" s="18">
        <v>1.835</v>
      </c>
      <c r="V62" s="18">
        <v>32.789000000000001</v>
      </c>
      <c r="W62" s="18" t="s">
        <v>34</v>
      </c>
      <c r="X62" s="18">
        <v>1.615</v>
      </c>
      <c r="Y62" s="18">
        <v>0.19500000000000001</v>
      </c>
      <c r="Z62" s="19">
        <v>-19.55</v>
      </c>
      <c r="AA62" s="19">
        <v>0.47</v>
      </c>
      <c r="AB62" s="19">
        <v>-4.8369999999999997</v>
      </c>
      <c r="AC62" s="19">
        <v>7.6999999999999999E-2</v>
      </c>
      <c r="AD62" s="19">
        <f>Z62-8*AB62</f>
        <v>19.145999999999997</v>
      </c>
      <c r="AE62" s="24">
        <v>0.5</v>
      </c>
      <c r="AF62" s="24">
        <v>0.06</v>
      </c>
    </row>
    <row r="63" spans="1:32" x14ac:dyDescent="0.25">
      <c r="A63" s="25" t="s">
        <v>98</v>
      </c>
      <c r="B63" s="31">
        <v>45090</v>
      </c>
      <c r="C63" s="10">
        <v>-32.464528000000001</v>
      </c>
      <c r="D63" s="23">
        <v>18.725836999999999</v>
      </c>
      <c r="E63" s="19">
        <v>54</v>
      </c>
      <c r="F63" s="16" t="s">
        <v>33</v>
      </c>
      <c r="G63" s="18">
        <v>136</v>
      </c>
      <c r="H63" s="19">
        <v>722</v>
      </c>
      <c r="I63" s="19" t="s">
        <v>34</v>
      </c>
      <c r="J63" s="19">
        <v>4.8</v>
      </c>
      <c r="K63" s="19" t="s">
        <v>34</v>
      </c>
      <c r="L63" s="16">
        <v>427</v>
      </c>
      <c r="M63" s="16" t="s">
        <v>34</v>
      </c>
      <c r="N63" s="19" t="s">
        <v>34</v>
      </c>
      <c r="O63" s="19" t="s">
        <v>34</v>
      </c>
      <c r="P63" s="19" t="s">
        <v>34</v>
      </c>
      <c r="Q63" s="19" t="s">
        <v>34</v>
      </c>
      <c r="R63" s="19" t="s">
        <v>34</v>
      </c>
      <c r="S63" s="19" t="s">
        <v>34</v>
      </c>
      <c r="T63" s="19" t="s">
        <v>34</v>
      </c>
      <c r="U63" s="19" t="s">
        <v>34</v>
      </c>
      <c r="V63" s="19" t="s">
        <v>34</v>
      </c>
      <c r="W63" s="19" t="s">
        <v>34</v>
      </c>
      <c r="X63" s="19" t="s">
        <v>34</v>
      </c>
      <c r="Y63" s="19" t="s">
        <v>34</v>
      </c>
      <c r="Z63" s="19" t="s">
        <v>34</v>
      </c>
      <c r="AA63" s="19" t="s">
        <v>34</v>
      </c>
      <c r="AB63" s="19" t="s">
        <v>34</v>
      </c>
      <c r="AC63" s="19" t="s">
        <v>34</v>
      </c>
      <c r="AD63" s="19" t="s">
        <v>34</v>
      </c>
      <c r="AE63" s="24">
        <v>0.5</v>
      </c>
      <c r="AF63" s="24">
        <v>0.06</v>
      </c>
    </row>
    <row r="64" spans="1:32" x14ac:dyDescent="0.25">
      <c r="A64" s="25" t="s">
        <v>99</v>
      </c>
      <c r="B64" s="31">
        <v>45090</v>
      </c>
      <c r="C64" s="10">
        <v>-32.465181000000001</v>
      </c>
      <c r="D64" s="23">
        <v>18.745241</v>
      </c>
      <c r="E64" s="19">
        <v>138</v>
      </c>
      <c r="F64" s="16" t="s">
        <v>33</v>
      </c>
      <c r="G64" s="19">
        <v>138</v>
      </c>
      <c r="H64" s="19">
        <v>633</v>
      </c>
      <c r="I64" s="19">
        <v>580.29999999999995</v>
      </c>
      <c r="J64" s="19">
        <v>4.3899999999999997</v>
      </c>
      <c r="K64" s="19">
        <v>4.8639999999999999</v>
      </c>
      <c r="L64" s="16">
        <v>384</v>
      </c>
      <c r="M64" s="16">
        <f>SUM(N64:Y64)</f>
        <v>330.5100000000001</v>
      </c>
      <c r="N64" s="17">
        <v>82.44</v>
      </c>
      <c r="O64" s="17">
        <v>1.476</v>
      </c>
      <c r="P64" s="17">
        <v>14.46</v>
      </c>
      <c r="Q64" s="17">
        <v>6.0339999999999998</v>
      </c>
      <c r="R64" s="18">
        <v>171.70699999999999</v>
      </c>
      <c r="S64" s="18">
        <v>18.832999999999998</v>
      </c>
      <c r="T64" s="19">
        <v>6.3</v>
      </c>
      <c r="U64" s="30">
        <v>0.1</v>
      </c>
      <c r="V64" s="18">
        <v>28.594000000000001</v>
      </c>
      <c r="W64" s="18" t="s">
        <v>34</v>
      </c>
      <c r="X64" s="18">
        <v>0.51600000000000001</v>
      </c>
      <c r="Y64" s="30">
        <v>0.05</v>
      </c>
      <c r="Z64" s="19">
        <v>-17.899999999999999</v>
      </c>
      <c r="AA64" s="19">
        <v>0.54</v>
      </c>
      <c r="AB64" s="19">
        <v>-4.6920000000000002</v>
      </c>
      <c r="AC64" s="19">
        <v>1.7999999999999999E-2</v>
      </c>
      <c r="AD64" s="19">
        <f>Z64-8*AB64</f>
        <v>19.636000000000003</v>
      </c>
      <c r="AE64" s="24">
        <v>0.5</v>
      </c>
      <c r="AF64" s="24">
        <v>0.06</v>
      </c>
    </row>
    <row r="65" spans="1:32" x14ac:dyDescent="0.25">
      <c r="A65" s="8" t="s">
        <v>100</v>
      </c>
      <c r="B65" s="31">
        <v>45091</v>
      </c>
      <c r="C65" s="23">
        <v>-32.609400000000001</v>
      </c>
      <c r="D65" s="23">
        <v>18.7761</v>
      </c>
      <c r="E65" s="19">
        <v>218</v>
      </c>
      <c r="F65" s="16" t="s">
        <v>38</v>
      </c>
      <c r="G65" s="18">
        <v>72</v>
      </c>
      <c r="H65" s="19">
        <v>558</v>
      </c>
      <c r="I65" s="19">
        <v>451.9</v>
      </c>
      <c r="J65" s="19">
        <v>3.45</v>
      </c>
      <c r="K65" s="19">
        <v>6.9889999999999999</v>
      </c>
      <c r="L65" s="16">
        <v>345</v>
      </c>
      <c r="M65" s="16">
        <f>SUM(N65:Y65)</f>
        <v>249.61799999999999</v>
      </c>
      <c r="N65" s="17">
        <v>65.7</v>
      </c>
      <c r="O65" s="17">
        <v>0.81799999999999995</v>
      </c>
      <c r="P65" s="17">
        <v>10.34</v>
      </c>
      <c r="Q65" s="17">
        <v>4.6379999999999999</v>
      </c>
      <c r="R65" s="18">
        <v>130.477</v>
      </c>
      <c r="S65" s="18">
        <v>8.4700000000000006</v>
      </c>
      <c r="T65" s="19">
        <v>11.7</v>
      </c>
      <c r="U65" s="18" t="s">
        <v>34</v>
      </c>
      <c r="V65" s="18">
        <v>17.04</v>
      </c>
      <c r="W65" s="18" t="s">
        <v>34</v>
      </c>
      <c r="X65" s="18">
        <v>0.38500000000000001</v>
      </c>
      <c r="Y65" s="30">
        <v>0.05</v>
      </c>
      <c r="Z65" s="19">
        <v>-18.079999999999998</v>
      </c>
      <c r="AA65" s="19">
        <v>0.87</v>
      </c>
      <c r="AB65" s="19">
        <v>-4.5179999999999998</v>
      </c>
      <c r="AC65" s="19">
        <v>7.4999999999999997E-2</v>
      </c>
      <c r="AD65" s="19">
        <f>Z65-8*AB65</f>
        <v>18.064</v>
      </c>
      <c r="AE65" s="24">
        <v>1.3</v>
      </c>
      <c r="AF65" s="28">
        <v>0.13</v>
      </c>
    </row>
    <row r="66" spans="1:32" x14ac:dyDescent="0.25">
      <c r="A66" s="8" t="s">
        <v>101</v>
      </c>
      <c r="B66" s="31">
        <v>45091</v>
      </c>
      <c r="C66" s="23">
        <v>-32.704644000000002</v>
      </c>
      <c r="D66" s="23">
        <v>18.795452000000001</v>
      </c>
      <c r="E66" s="19">
        <v>80</v>
      </c>
      <c r="F66" s="16" t="s">
        <v>33</v>
      </c>
      <c r="G66" s="18">
        <v>193</v>
      </c>
      <c r="H66" s="19" t="s">
        <v>34</v>
      </c>
      <c r="I66" s="19">
        <v>167.1</v>
      </c>
      <c r="J66" s="19">
        <v>3.39</v>
      </c>
      <c r="K66" s="19">
        <v>6.8949999999999996</v>
      </c>
      <c r="L66" s="16">
        <v>117.4</v>
      </c>
      <c r="M66" s="16">
        <f>SUM(N66:Y66)</f>
        <v>100.05609999999999</v>
      </c>
      <c r="N66" s="17">
        <v>9.9529999999999994</v>
      </c>
      <c r="O66" s="17">
        <v>0.92210000000000003</v>
      </c>
      <c r="P66" s="17">
        <v>3.532</v>
      </c>
      <c r="Q66" s="17">
        <v>16.61</v>
      </c>
      <c r="R66" s="18">
        <v>21.946000000000002</v>
      </c>
      <c r="S66" s="18">
        <v>3.9180000000000001</v>
      </c>
      <c r="T66" s="19">
        <v>42.2</v>
      </c>
      <c r="U66" s="30">
        <v>0.1</v>
      </c>
      <c r="V66" s="18">
        <v>0.73599999999999999</v>
      </c>
      <c r="W66" s="18" t="s">
        <v>34</v>
      </c>
      <c r="X66" s="18">
        <v>6.5000000000000002E-2</v>
      </c>
      <c r="Y66" s="18">
        <v>7.3999999999999996E-2</v>
      </c>
      <c r="Z66" s="19">
        <v>-15.21</v>
      </c>
      <c r="AA66" s="19">
        <v>0.36</v>
      </c>
      <c r="AB66" s="19">
        <v>-4.2910000000000004</v>
      </c>
      <c r="AC66" s="19">
        <v>8.5000000000000006E-2</v>
      </c>
      <c r="AD66" s="19">
        <f>Z66-8*AB66</f>
        <v>19.118000000000002</v>
      </c>
      <c r="AE66" s="24">
        <v>0.5</v>
      </c>
      <c r="AF66" s="24">
        <v>0.06</v>
      </c>
    </row>
    <row r="67" spans="1:32" x14ac:dyDescent="0.25">
      <c r="A67" s="8" t="s">
        <v>102</v>
      </c>
      <c r="B67" s="31">
        <v>45252</v>
      </c>
      <c r="C67" s="23">
        <v>-32.708300000000001</v>
      </c>
      <c r="D67" s="23">
        <v>18.714400000000001</v>
      </c>
      <c r="E67" s="19">
        <v>48</v>
      </c>
      <c r="F67" s="16" t="s">
        <v>38</v>
      </c>
      <c r="G67" s="18">
        <v>104</v>
      </c>
      <c r="H67" s="19" t="s">
        <v>34</v>
      </c>
      <c r="I67" s="19">
        <v>830.8</v>
      </c>
      <c r="J67" s="19" t="s">
        <v>34</v>
      </c>
      <c r="K67" s="19">
        <v>6.8259999999999996</v>
      </c>
      <c r="L67" s="16" t="s">
        <v>34</v>
      </c>
      <c r="M67" s="16" t="s">
        <v>34</v>
      </c>
      <c r="N67" s="19" t="s">
        <v>34</v>
      </c>
      <c r="O67" s="19" t="s">
        <v>34</v>
      </c>
      <c r="P67" s="19" t="s">
        <v>34</v>
      </c>
      <c r="Q67" s="19" t="s">
        <v>34</v>
      </c>
      <c r="R67" s="19" t="s">
        <v>34</v>
      </c>
      <c r="S67" s="19" t="s">
        <v>34</v>
      </c>
      <c r="T67" s="19" t="s">
        <v>34</v>
      </c>
      <c r="U67" s="19" t="s">
        <v>34</v>
      </c>
      <c r="V67" s="19" t="s">
        <v>34</v>
      </c>
      <c r="W67" s="19" t="s">
        <v>34</v>
      </c>
      <c r="X67" s="19" t="s">
        <v>34</v>
      </c>
      <c r="Y67" s="19" t="s">
        <v>34</v>
      </c>
      <c r="Z67" s="19">
        <v>-9.0942143084407618</v>
      </c>
      <c r="AA67" s="19">
        <v>0.11447517926025143</v>
      </c>
      <c r="AB67" s="19">
        <v>-2.635188147160032</v>
      </c>
      <c r="AC67" s="19">
        <v>2.4647515087732479E-2</v>
      </c>
      <c r="AD67" s="19">
        <v>11.987290868839494</v>
      </c>
      <c r="AE67" s="18" t="s">
        <v>34</v>
      </c>
      <c r="AF67" s="18" t="s">
        <v>34</v>
      </c>
    </row>
    <row r="68" spans="1:32" x14ac:dyDescent="0.25">
      <c r="A68" s="8" t="s">
        <v>103</v>
      </c>
      <c r="B68" s="31">
        <v>45252</v>
      </c>
      <c r="C68" s="10">
        <v>-32.694377000000003</v>
      </c>
      <c r="D68" s="10">
        <v>18.712679999999999</v>
      </c>
      <c r="E68" s="19">
        <v>83</v>
      </c>
      <c r="F68" s="16" t="s">
        <v>34</v>
      </c>
      <c r="G68" s="19" t="s">
        <v>34</v>
      </c>
      <c r="H68" s="19" t="s">
        <v>34</v>
      </c>
      <c r="I68" s="19">
        <v>827.5</v>
      </c>
      <c r="J68" s="19" t="s">
        <v>34</v>
      </c>
      <c r="K68" s="19">
        <v>7.016</v>
      </c>
      <c r="L68" s="16" t="s">
        <v>34</v>
      </c>
      <c r="M68" s="16" t="s">
        <v>34</v>
      </c>
      <c r="N68" s="19" t="s">
        <v>34</v>
      </c>
      <c r="O68" s="19" t="s">
        <v>34</v>
      </c>
      <c r="P68" s="19" t="s">
        <v>34</v>
      </c>
      <c r="Q68" s="19" t="s">
        <v>34</v>
      </c>
      <c r="R68" s="19" t="s">
        <v>34</v>
      </c>
      <c r="S68" s="19" t="s">
        <v>34</v>
      </c>
      <c r="T68" s="19" t="s">
        <v>34</v>
      </c>
      <c r="U68" s="19" t="s">
        <v>34</v>
      </c>
      <c r="V68" s="19" t="s">
        <v>34</v>
      </c>
      <c r="W68" s="19" t="s">
        <v>34</v>
      </c>
      <c r="X68" s="19" t="s">
        <v>34</v>
      </c>
      <c r="Y68" s="19" t="s">
        <v>34</v>
      </c>
      <c r="Z68" s="19">
        <v>-12.181151915904525</v>
      </c>
      <c r="AA68" s="19">
        <v>4.8636063437193233E-2</v>
      </c>
      <c r="AB68" s="19">
        <v>-3.2673461339952032</v>
      </c>
      <c r="AC68" s="19">
        <v>2.1316660151158726E-2</v>
      </c>
      <c r="AD68" s="19">
        <v>13.957617156057101</v>
      </c>
      <c r="AE68" s="18" t="s">
        <v>34</v>
      </c>
      <c r="AF68" s="18" t="s">
        <v>34</v>
      </c>
    </row>
    <row r="69" spans="1:32" x14ac:dyDescent="0.25">
      <c r="A69" s="8" t="s">
        <v>104</v>
      </c>
      <c r="B69" s="31">
        <v>45252</v>
      </c>
      <c r="C69" s="23">
        <v>-32.681617000000003</v>
      </c>
      <c r="D69" s="23">
        <v>18.719000000000001</v>
      </c>
      <c r="E69" s="19">
        <v>100</v>
      </c>
      <c r="F69" s="16" t="s">
        <v>38</v>
      </c>
      <c r="G69" s="18">
        <v>145</v>
      </c>
      <c r="H69" s="19" t="s">
        <v>34</v>
      </c>
      <c r="I69" s="19">
        <v>6.8</v>
      </c>
      <c r="J69" s="19" t="s">
        <v>34</v>
      </c>
      <c r="K69" s="19">
        <v>3.7149999999999999</v>
      </c>
      <c r="L69" s="16" t="s">
        <v>34</v>
      </c>
      <c r="M69" s="16" t="s">
        <v>34</v>
      </c>
      <c r="N69" s="19" t="s">
        <v>34</v>
      </c>
      <c r="O69" s="19" t="s">
        <v>34</v>
      </c>
      <c r="P69" s="19" t="s">
        <v>34</v>
      </c>
      <c r="Q69" s="19" t="s">
        <v>34</v>
      </c>
      <c r="R69" s="19" t="s">
        <v>34</v>
      </c>
      <c r="S69" s="19" t="s">
        <v>34</v>
      </c>
      <c r="T69" s="19" t="s">
        <v>34</v>
      </c>
      <c r="U69" s="19" t="s">
        <v>34</v>
      </c>
      <c r="V69" s="19" t="s">
        <v>34</v>
      </c>
      <c r="W69" s="19" t="s">
        <v>34</v>
      </c>
      <c r="X69" s="19" t="s">
        <v>34</v>
      </c>
      <c r="Y69" s="19" t="s">
        <v>34</v>
      </c>
      <c r="Z69" s="19">
        <v>-11.526084422955304</v>
      </c>
      <c r="AA69" s="19">
        <v>0.1344767637921141</v>
      </c>
      <c r="AB69" s="19">
        <v>-3.0480438897398328</v>
      </c>
      <c r="AC69" s="19">
        <v>4.3569102201751447E-2</v>
      </c>
      <c r="AD69" s="19">
        <v>12.858266694963358</v>
      </c>
      <c r="AE69" s="18" t="s">
        <v>34</v>
      </c>
      <c r="AF69" s="18" t="s">
        <v>34</v>
      </c>
    </row>
    <row r="70" spans="1:32" x14ac:dyDescent="0.25">
      <c r="A70" s="8" t="s">
        <v>105</v>
      </c>
      <c r="B70" s="31">
        <v>45252</v>
      </c>
      <c r="C70" s="10">
        <v>-32.650621999999998</v>
      </c>
      <c r="D70" s="23">
        <v>18.697213000000001</v>
      </c>
      <c r="E70" s="19">
        <v>68</v>
      </c>
      <c r="F70" s="16" t="s">
        <v>38</v>
      </c>
      <c r="G70" s="18">
        <v>92</v>
      </c>
      <c r="H70" s="19" t="s">
        <v>34</v>
      </c>
      <c r="I70" s="19">
        <v>2567</v>
      </c>
      <c r="J70" s="19" t="s">
        <v>34</v>
      </c>
      <c r="K70" s="19">
        <v>7.0010000000000003</v>
      </c>
      <c r="L70" s="16" t="s">
        <v>34</v>
      </c>
      <c r="M70" s="16">
        <f>SUM(N70:AD70)</f>
        <v>1410.3513939333425</v>
      </c>
      <c r="N70" s="34">
        <v>249.9</v>
      </c>
      <c r="O70" s="34">
        <v>9.2870000000000008</v>
      </c>
      <c r="P70" s="34">
        <v>74.03</v>
      </c>
      <c r="Q70" s="34">
        <v>125.8</v>
      </c>
      <c r="R70" s="14">
        <v>657.74599999999998</v>
      </c>
      <c r="S70" s="14">
        <v>120.34099999999999</v>
      </c>
      <c r="T70" s="20">
        <v>174.1</v>
      </c>
      <c r="U70" s="14" t="s">
        <v>34</v>
      </c>
      <c r="V70" s="14">
        <v>0.05</v>
      </c>
      <c r="W70" s="14" t="s">
        <v>34</v>
      </c>
      <c r="X70" s="14">
        <v>2.1440000000000001</v>
      </c>
      <c r="Y70" s="14">
        <v>0.155</v>
      </c>
      <c r="Z70" s="19">
        <v>-13.974772919679902</v>
      </c>
      <c r="AA70" s="19">
        <v>8.0735783062200306E-2</v>
      </c>
      <c r="AB70" s="19">
        <v>-3.52098003949183</v>
      </c>
      <c r="AC70" s="19">
        <v>2.0343713197611319E-2</v>
      </c>
      <c r="AD70" s="19">
        <v>14.193067396254738</v>
      </c>
      <c r="AE70" s="18" t="s">
        <v>34</v>
      </c>
      <c r="AF70" s="18" t="s">
        <v>34</v>
      </c>
    </row>
    <row r="71" spans="1:32" x14ac:dyDescent="0.25">
      <c r="A71" s="8" t="s">
        <v>106</v>
      </c>
      <c r="B71" s="31">
        <v>45252</v>
      </c>
      <c r="C71" s="23">
        <v>-32.602184020000003</v>
      </c>
      <c r="D71" s="23">
        <v>18.564984970000001</v>
      </c>
      <c r="E71" s="19" t="s">
        <v>34</v>
      </c>
      <c r="F71" s="13" t="s">
        <v>33</v>
      </c>
      <c r="G71" s="18">
        <v>194</v>
      </c>
      <c r="H71" s="19" t="s">
        <v>34</v>
      </c>
      <c r="I71" s="19">
        <v>356.3</v>
      </c>
      <c r="J71" s="19" t="s">
        <v>34</v>
      </c>
      <c r="K71" s="19">
        <v>4.9509999999999996</v>
      </c>
      <c r="L71" s="16" t="s">
        <v>34</v>
      </c>
      <c r="M71" s="16" t="s">
        <v>34</v>
      </c>
      <c r="N71" s="19" t="s">
        <v>34</v>
      </c>
      <c r="O71" s="19" t="s">
        <v>34</v>
      </c>
      <c r="P71" s="19" t="s">
        <v>34</v>
      </c>
      <c r="Q71" s="19" t="s">
        <v>34</v>
      </c>
      <c r="R71" s="19" t="s">
        <v>34</v>
      </c>
      <c r="S71" s="19" t="s">
        <v>34</v>
      </c>
      <c r="T71" s="19" t="s">
        <v>34</v>
      </c>
      <c r="U71" s="19" t="s">
        <v>34</v>
      </c>
      <c r="V71" s="19" t="s">
        <v>34</v>
      </c>
      <c r="W71" s="19" t="s">
        <v>34</v>
      </c>
      <c r="X71" s="19" t="s">
        <v>34</v>
      </c>
      <c r="Y71" s="19" t="s">
        <v>34</v>
      </c>
      <c r="Z71" s="19">
        <v>-14.87786907956529</v>
      </c>
      <c r="AA71" s="19">
        <v>8.8103726746753555E-2</v>
      </c>
      <c r="AB71" s="19">
        <v>-3.7255687146438055</v>
      </c>
      <c r="AC71" s="19">
        <v>1.5033296378372847E-2</v>
      </c>
      <c r="AD71" s="19">
        <v>14.926680637585154</v>
      </c>
      <c r="AE71" s="18" t="s">
        <v>34</v>
      </c>
      <c r="AF71" s="18" t="s">
        <v>34</v>
      </c>
    </row>
    <row r="72" spans="1:32" x14ac:dyDescent="0.25">
      <c r="A72" s="8" t="s">
        <v>107</v>
      </c>
      <c r="B72" s="31">
        <v>45252</v>
      </c>
      <c r="C72" s="23">
        <v>-32.603320019999998</v>
      </c>
      <c r="D72" s="23">
        <v>18.57616299</v>
      </c>
      <c r="E72" s="19" t="s">
        <v>34</v>
      </c>
      <c r="F72" s="13" t="s">
        <v>33</v>
      </c>
      <c r="G72" s="18">
        <v>146</v>
      </c>
      <c r="H72" s="19" t="s">
        <v>34</v>
      </c>
      <c r="I72" s="19">
        <v>745.6</v>
      </c>
      <c r="J72" s="19" t="s">
        <v>34</v>
      </c>
      <c r="K72" s="19">
        <v>7.4320000000000004</v>
      </c>
      <c r="L72" s="16" t="s">
        <v>34</v>
      </c>
      <c r="M72" s="16" t="s">
        <v>34</v>
      </c>
      <c r="N72" s="19" t="s">
        <v>34</v>
      </c>
      <c r="O72" s="19" t="s">
        <v>34</v>
      </c>
      <c r="P72" s="19" t="s">
        <v>34</v>
      </c>
      <c r="Q72" s="19" t="s">
        <v>34</v>
      </c>
      <c r="R72" s="19" t="s">
        <v>34</v>
      </c>
      <c r="S72" s="19" t="s">
        <v>34</v>
      </c>
      <c r="T72" s="19" t="s">
        <v>34</v>
      </c>
      <c r="U72" s="19" t="s">
        <v>34</v>
      </c>
      <c r="V72" s="19" t="s">
        <v>34</v>
      </c>
      <c r="W72" s="19" t="s">
        <v>34</v>
      </c>
      <c r="X72" s="19" t="s">
        <v>34</v>
      </c>
      <c r="Y72" s="19" t="s">
        <v>34</v>
      </c>
      <c r="Z72" s="19">
        <v>-13.968487261682204</v>
      </c>
      <c r="AA72" s="19">
        <v>9.4567260014588261E-2</v>
      </c>
      <c r="AB72" s="19">
        <v>-3.4453102555315103</v>
      </c>
      <c r="AC72" s="19">
        <v>3.0250068870444981E-2</v>
      </c>
      <c r="AD72" s="19">
        <v>13.593994782569878</v>
      </c>
      <c r="AE72" s="18" t="s">
        <v>34</v>
      </c>
      <c r="AF72" s="18" t="s">
        <v>34</v>
      </c>
    </row>
    <row r="73" spans="1:32" x14ac:dyDescent="0.25">
      <c r="A73" s="8" t="s">
        <v>108</v>
      </c>
      <c r="B73" s="31">
        <v>45252</v>
      </c>
      <c r="C73" s="23">
        <v>-32.617807980000002</v>
      </c>
      <c r="D73" s="23">
        <v>18.622138979999999</v>
      </c>
      <c r="E73" s="19">
        <v>83</v>
      </c>
      <c r="F73" s="16" t="s">
        <v>38</v>
      </c>
      <c r="G73" s="18">
        <v>94</v>
      </c>
      <c r="H73" s="19" t="s">
        <v>34</v>
      </c>
      <c r="I73" s="19">
        <v>598.4</v>
      </c>
      <c r="J73" s="19" t="s">
        <v>34</v>
      </c>
      <c r="K73" s="19">
        <v>6.3140000000000001</v>
      </c>
      <c r="L73" s="16" t="s">
        <v>34</v>
      </c>
      <c r="M73" s="16">
        <f>SUM(N73:AD73)</f>
        <v>290.41626273383326</v>
      </c>
      <c r="N73" s="34">
        <v>65.739999999999995</v>
      </c>
      <c r="O73" s="34">
        <v>0.62270000000000003</v>
      </c>
      <c r="P73" s="34">
        <v>14.61</v>
      </c>
      <c r="Q73" s="34">
        <v>17.350000000000001</v>
      </c>
      <c r="R73" s="14">
        <v>158.76599999999999</v>
      </c>
      <c r="S73" s="14">
        <v>7.3049999999999997</v>
      </c>
      <c r="T73" s="20">
        <v>18.600000000000001</v>
      </c>
      <c r="U73" s="14" t="s">
        <v>34</v>
      </c>
      <c r="V73" s="14">
        <v>11.922000000000001</v>
      </c>
      <c r="W73" s="14" t="s">
        <v>34</v>
      </c>
      <c r="X73" s="14">
        <v>0.47699999999999998</v>
      </c>
      <c r="Y73" s="14">
        <v>0.05</v>
      </c>
      <c r="Z73" s="19">
        <v>-14.003143321993834</v>
      </c>
      <c r="AA73" s="19">
        <v>7.0977226394574683E-2</v>
      </c>
      <c r="AB73" s="19">
        <v>-3.2692729109016008</v>
      </c>
      <c r="AC73" s="19">
        <v>2.3961775115100888E-2</v>
      </c>
      <c r="AD73" s="19">
        <v>12.151039965218972</v>
      </c>
      <c r="AE73" s="18" t="s">
        <v>34</v>
      </c>
      <c r="AF73" s="18" t="s">
        <v>34</v>
      </c>
    </row>
    <row r="74" spans="1:32" x14ac:dyDescent="0.25">
      <c r="A74" s="8" t="s">
        <v>109</v>
      </c>
      <c r="B74" s="31">
        <v>45253</v>
      </c>
      <c r="C74" s="23">
        <v>-32.5991</v>
      </c>
      <c r="D74" s="23">
        <v>18.682300000000001</v>
      </c>
      <c r="E74" s="19">
        <v>140</v>
      </c>
      <c r="F74" s="16" t="s">
        <v>38</v>
      </c>
      <c r="G74" s="18">
        <v>55</v>
      </c>
      <c r="H74" s="19" t="s">
        <v>34</v>
      </c>
      <c r="I74" s="19">
        <v>2370</v>
      </c>
      <c r="J74" s="19" t="s">
        <v>34</v>
      </c>
      <c r="K74" s="19">
        <v>6.9669999999999996</v>
      </c>
      <c r="L74" s="16" t="s">
        <v>34</v>
      </c>
      <c r="M74" s="16" t="s">
        <v>34</v>
      </c>
      <c r="N74" s="19" t="s">
        <v>34</v>
      </c>
      <c r="O74" s="19" t="s">
        <v>34</v>
      </c>
      <c r="P74" s="19" t="s">
        <v>34</v>
      </c>
      <c r="Q74" s="19" t="s">
        <v>34</v>
      </c>
      <c r="R74" s="19" t="s">
        <v>34</v>
      </c>
      <c r="S74" s="19" t="s">
        <v>34</v>
      </c>
      <c r="T74" s="19" t="s">
        <v>34</v>
      </c>
      <c r="U74" s="19" t="s">
        <v>34</v>
      </c>
      <c r="V74" s="19" t="s">
        <v>34</v>
      </c>
      <c r="W74" s="19" t="s">
        <v>34</v>
      </c>
      <c r="X74" s="19" t="s">
        <v>34</v>
      </c>
      <c r="Y74" s="19" t="s">
        <v>34</v>
      </c>
      <c r="Z74" s="19">
        <v>-11.994281002459466</v>
      </c>
      <c r="AA74" s="19">
        <v>4.0431011200150316E-2</v>
      </c>
      <c r="AB74" s="19">
        <v>-2.6054106858793507</v>
      </c>
      <c r="AC74" s="19">
        <v>2.9185041830819304E-2</v>
      </c>
      <c r="AD74" s="19">
        <v>8.8490044845753388</v>
      </c>
      <c r="AE74" s="18" t="s">
        <v>34</v>
      </c>
      <c r="AF74" s="18" t="s">
        <v>34</v>
      </c>
    </row>
    <row r="75" spans="1:32" x14ac:dyDescent="0.25">
      <c r="A75" s="25" t="s">
        <v>110</v>
      </c>
      <c r="B75" s="31">
        <v>45253</v>
      </c>
      <c r="C75" s="23">
        <v>-32.3491</v>
      </c>
      <c r="D75" s="23">
        <v>18.448499999999999</v>
      </c>
      <c r="E75" s="19">
        <v>3</v>
      </c>
      <c r="F75" s="16" t="s">
        <v>49</v>
      </c>
      <c r="G75" s="19">
        <v>7</v>
      </c>
      <c r="H75" s="19" t="s">
        <v>34</v>
      </c>
      <c r="I75" s="19">
        <v>666</v>
      </c>
      <c r="J75" s="19" t="s">
        <v>34</v>
      </c>
      <c r="K75" s="19">
        <v>4.3319999999999999</v>
      </c>
      <c r="L75" s="16" t="s">
        <v>34</v>
      </c>
      <c r="M75" s="16" t="s">
        <v>34</v>
      </c>
      <c r="N75" s="19" t="s">
        <v>34</v>
      </c>
      <c r="O75" s="19" t="s">
        <v>34</v>
      </c>
      <c r="P75" s="19" t="s">
        <v>34</v>
      </c>
      <c r="Q75" s="19" t="s">
        <v>34</v>
      </c>
      <c r="R75" s="19" t="s">
        <v>34</v>
      </c>
      <c r="S75" s="19" t="s">
        <v>34</v>
      </c>
      <c r="T75" s="19" t="s">
        <v>34</v>
      </c>
      <c r="U75" s="19" t="s">
        <v>34</v>
      </c>
      <c r="V75" s="19" t="s">
        <v>34</v>
      </c>
      <c r="W75" s="19" t="s">
        <v>34</v>
      </c>
      <c r="X75" s="19" t="s">
        <v>34</v>
      </c>
      <c r="Y75" s="19" t="s">
        <v>34</v>
      </c>
      <c r="Z75" s="19">
        <v>-13.425202551502846</v>
      </c>
      <c r="AA75" s="19">
        <v>8.4041458023207782E-2</v>
      </c>
      <c r="AB75" s="19">
        <v>-3.037183874449231</v>
      </c>
      <c r="AC75" s="19">
        <v>2.4995999679948804E-2</v>
      </c>
      <c r="AD75" s="19">
        <v>10.872268444091002</v>
      </c>
      <c r="AE75" s="18" t="s">
        <v>34</v>
      </c>
      <c r="AF75" s="18" t="s">
        <v>34</v>
      </c>
    </row>
    <row r="76" spans="1:32" x14ac:dyDescent="0.25">
      <c r="A76" s="25" t="s">
        <v>111</v>
      </c>
      <c r="B76" s="31">
        <v>45253</v>
      </c>
      <c r="C76" s="23">
        <v>-32.336799999999997</v>
      </c>
      <c r="D76" s="23">
        <v>18.391400000000001</v>
      </c>
      <c r="E76" s="19">
        <v>116</v>
      </c>
      <c r="F76" s="16" t="s">
        <v>38</v>
      </c>
      <c r="G76" s="18">
        <v>96</v>
      </c>
      <c r="H76" s="19" t="s">
        <v>34</v>
      </c>
      <c r="I76" s="19">
        <v>2905</v>
      </c>
      <c r="J76" s="19" t="s">
        <v>34</v>
      </c>
      <c r="K76" s="19">
        <v>5.5</v>
      </c>
      <c r="L76" s="16" t="s">
        <v>34</v>
      </c>
      <c r="M76" s="16" t="s">
        <v>34</v>
      </c>
      <c r="N76" s="19" t="s">
        <v>34</v>
      </c>
      <c r="O76" s="19" t="s">
        <v>34</v>
      </c>
      <c r="P76" s="19" t="s">
        <v>34</v>
      </c>
      <c r="Q76" s="19" t="s">
        <v>34</v>
      </c>
      <c r="R76" s="19" t="s">
        <v>34</v>
      </c>
      <c r="S76" s="19" t="s">
        <v>34</v>
      </c>
      <c r="T76" s="19" t="s">
        <v>34</v>
      </c>
      <c r="U76" s="19" t="s">
        <v>34</v>
      </c>
      <c r="V76" s="19" t="s">
        <v>34</v>
      </c>
      <c r="W76" s="19" t="s">
        <v>34</v>
      </c>
      <c r="X76" s="19" t="s">
        <v>34</v>
      </c>
      <c r="Y76" s="19" t="s">
        <v>34</v>
      </c>
      <c r="Z76" s="19">
        <v>-15.705537343478307</v>
      </c>
      <c r="AA76" s="19">
        <v>4.4495692675433664E-2</v>
      </c>
      <c r="AB76" s="19">
        <v>-3.5386713547232951</v>
      </c>
      <c r="AC76" s="19">
        <v>3.4770197967033019E-2</v>
      </c>
      <c r="AD76" s="19">
        <v>12.603833494308054</v>
      </c>
      <c r="AE76" s="18" t="s">
        <v>34</v>
      </c>
      <c r="AF76" s="18" t="s">
        <v>34</v>
      </c>
    </row>
    <row r="77" spans="1:32" x14ac:dyDescent="0.25">
      <c r="A77" s="25" t="s">
        <v>112</v>
      </c>
      <c r="B77" s="31">
        <v>45253</v>
      </c>
      <c r="C77" s="23">
        <v>-32.502389999999998</v>
      </c>
      <c r="D77" s="23">
        <v>18.563258000000001</v>
      </c>
      <c r="E77" s="19">
        <v>22</v>
      </c>
      <c r="F77" s="16" t="s">
        <v>49</v>
      </c>
      <c r="G77" s="18">
        <v>20</v>
      </c>
      <c r="H77" s="19" t="s">
        <v>34</v>
      </c>
      <c r="I77" s="19">
        <v>783.9</v>
      </c>
      <c r="J77" s="19" t="s">
        <v>34</v>
      </c>
      <c r="K77" s="19">
        <v>6.0460000000000003</v>
      </c>
      <c r="L77" s="16" t="s">
        <v>34</v>
      </c>
      <c r="M77" s="16">
        <f>SUM(N77:AD77)</f>
        <v>412.13561229244476</v>
      </c>
      <c r="N77" s="34">
        <v>86.75</v>
      </c>
      <c r="O77" s="34">
        <v>6.25</v>
      </c>
      <c r="P77" s="34">
        <v>20.37</v>
      </c>
      <c r="Q77" s="34">
        <v>19.28</v>
      </c>
      <c r="R77" s="14">
        <v>161.49600000000001</v>
      </c>
      <c r="S77" s="14">
        <v>52.746000000000002</v>
      </c>
      <c r="T77" s="20">
        <v>18.399999999999999</v>
      </c>
      <c r="U77" s="14">
        <v>1.181</v>
      </c>
      <c r="V77" s="14">
        <v>50.823999999999998</v>
      </c>
      <c r="W77" s="14" t="s">
        <v>34</v>
      </c>
      <c r="X77" s="14">
        <v>0.51500000000000001</v>
      </c>
      <c r="Y77" s="14">
        <v>0.05</v>
      </c>
      <c r="Z77" s="19">
        <v>-13.965939021953409</v>
      </c>
      <c r="AA77" s="19">
        <v>5.9805239458317012E-2</v>
      </c>
      <c r="AB77" s="19">
        <v>-3.1611982426064218</v>
      </c>
      <c r="AC77" s="19">
        <v>1.7297398648351656E-2</v>
      </c>
      <c r="AD77" s="19">
        <v>11.323646918897966</v>
      </c>
      <c r="AE77" s="18" t="s">
        <v>34</v>
      </c>
      <c r="AF77" s="18" t="s">
        <v>34</v>
      </c>
    </row>
    <row r="78" spans="1:32" x14ac:dyDescent="0.25">
      <c r="A78" s="8" t="s">
        <v>113</v>
      </c>
      <c r="B78" s="31">
        <v>45251</v>
      </c>
      <c r="C78" s="23">
        <v>-32.296385000000001</v>
      </c>
      <c r="D78" s="23">
        <v>18.605551999999999</v>
      </c>
      <c r="E78" s="19">
        <v>46</v>
      </c>
      <c r="F78" s="16" t="s">
        <v>33</v>
      </c>
      <c r="G78" s="18">
        <v>110</v>
      </c>
      <c r="H78" s="19" t="s">
        <v>34</v>
      </c>
      <c r="I78" s="19">
        <v>1404</v>
      </c>
      <c r="J78" s="19" t="s">
        <v>34</v>
      </c>
      <c r="K78" s="19">
        <v>5.6719999999999997</v>
      </c>
      <c r="L78" s="16" t="s">
        <v>34</v>
      </c>
      <c r="M78" s="16" t="s">
        <v>34</v>
      </c>
      <c r="N78" s="19" t="s">
        <v>34</v>
      </c>
      <c r="O78" s="19" t="s">
        <v>34</v>
      </c>
      <c r="P78" s="19" t="s">
        <v>34</v>
      </c>
      <c r="Q78" s="19" t="s">
        <v>34</v>
      </c>
      <c r="R78" s="19" t="s">
        <v>34</v>
      </c>
      <c r="S78" s="19" t="s">
        <v>34</v>
      </c>
      <c r="T78" s="19" t="s">
        <v>34</v>
      </c>
      <c r="U78" s="19" t="s">
        <v>34</v>
      </c>
      <c r="V78" s="19" t="s">
        <v>34</v>
      </c>
      <c r="W78" s="19" t="s">
        <v>34</v>
      </c>
      <c r="X78" s="19" t="s">
        <v>34</v>
      </c>
      <c r="Y78" s="19" t="s">
        <v>34</v>
      </c>
      <c r="Z78" s="19">
        <v>-17.254697215937831</v>
      </c>
      <c r="AA78" s="19">
        <v>0.17747384783867978</v>
      </c>
      <c r="AB78" s="19">
        <v>-3.9066857438451263</v>
      </c>
      <c r="AC78" s="19">
        <v>3.8877585658920029E-2</v>
      </c>
      <c r="AD78" s="19">
        <v>13.998788734823179</v>
      </c>
      <c r="AE78" s="18" t="s">
        <v>34</v>
      </c>
      <c r="AF78" s="18" t="s">
        <v>34</v>
      </c>
    </row>
    <row r="79" spans="1:32" x14ac:dyDescent="0.25">
      <c r="A79" s="8" t="s">
        <v>114</v>
      </c>
      <c r="B79" s="31">
        <v>45253</v>
      </c>
      <c r="C79" s="23">
        <v>-32.2898</v>
      </c>
      <c r="D79" s="23">
        <v>18.5654</v>
      </c>
      <c r="E79" s="19" t="s">
        <v>34</v>
      </c>
      <c r="F79" s="16" t="s">
        <v>33</v>
      </c>
      <c r="G79" s="18">
        <v>99</v>
      </c>
      <c r="H79" s="19" t="s">
        <v>34</v>
      </c>
      <c r="I79" s="19">
        <v>1372</v>
      </c>
      <c r="J79" s="19" t="s">
        <v>34</v>
      </c>
      <c r="K79" s="19">
        <v>5.3010000000000002</v>
      </c>
      <c r="L79" s="16" t="s">
        <v>34</v>
      </c>
      <c r="M79" s="16">
        <f>SUM(N79:AD79)</f>
        <v>700.77079120396695</v>
      </c>
      <c r="N79" s="34">
        <v>163.5</v>
      </c>
      <c r="O79" s="34">
        <v>4.9720000000000004</v>
      </c>
      <c r="P79" s="34">
        <v>31.78</v>
      </c>
      <c r="Q79" s="34">
        <v>26.68</v>
      </c>
      <c r="R79" s="14">
        <v>374.74900000000002</v>
      </c>
      <c r="S79" s="14">
        <v>34.356999999999999</v>
      </c>
      <c r="T79" s="20">
        <v>4.3</v>
      </c>
      <c r="U79" s="14">
        <v>0.35799999999999998</v>
      </c>
      <c r="V79" s="14">
        <v>65.372</v>
      </c>
      <c r="W79" s="14" t="s">
        <v>34</v>
      </c>
      <c r="X79" s="14">
        <v>1.0669999999999999</v>
      </c>
      <c r="Y79" s="14">
        <v>0.05</v>
      </c>
      <c r="Z79" s="19">
        <v>-15.575746999958284</v>
      </c>
      <c r="AA79" s="19">
        <v>3.1610124960208784E-2</v>
      </c>
      <c r="AB79" s="19">
        <v>-3.525709400989351</v>
      </c>
      <c r="AC79" s="19">
        <v>2.5709271997990685E-2</v>
      </c>
      <c r="AD79" s="19">
        <v>12.629928207956524</v>
      </c>
      <c r="AE79" s="18" t="s">
        <v>34</v>
      </c>
      <c r="AF79" s="18" t="s">
        <v>34</v>
      </c>
    </row>
    <row r="80" spans="1:32" x14ac:dyDescent="0.25">
      <c r="A80" s="8" t="s">
        <v>115</v>
      </c>
      <c r="B80" s="31">
        <v>45253</v>
      </c>
      <c r="C80" s="23">
        <v>-32.291800000000002</v>
      </c>
      <c r="D80" s="23">
        <v>18.5365</v>
      </c>
      <c r="E80" s="19" t="s">
        <v>34</v>
      </c>
      <c r="F80" s="16" t="s">
        <v>33</v>
      </c>
      <c r="G80" s="18">
        <v>246</v>
      </c>
      <c r="H80" s="19" t="s">
        <v>34</v>
      </c>
      <c r="I80" s="19">
        <v>623.6</v>
      </c>
      <c r="J80" s="19" t="s">
        <v>34</v>
      </c>
      <c r="K80" s="19">
        <v>5.0460000000000003</v>
      </c>
      <c r="L80" s="16" t="s">
        <v>34</v>
      </c>
      <c r="M80" s="16" t="s">
        <v>34</v>
      </c>
      <c r="N80" s="19" t="s">
        <v>34</v>
      </c>
      <c r="O80" s="19" t="s">
        <v>34</v>
      </c>
      <c r="P80" s="19" t="s">
        <v>34</v>
      </c>
      <c r="Q80" s="19" t="s">
        <v>34</v>
      </c>
      <c r="R80" s="19" t="s">
        <v>34</v>
      </c>
      <c r="S80" s="19" t="s">
        <v>34</v>
      </c>
      <c r="T80" s="19" t="s">
        <v>34</v>
      </c>
      <c r="U80" s="19" t="s">
        <v>34</v>
      </c>
      <c r="V80" s="19" t="s">
        <v>34</v>
      </c>
      <c r="W80" s="19" t="s">
        <v>34</v>
      </c>
      <c r="X80" s="19" t="s">
        <v>34</v>
      </c>
      <c r="Y80" s="19" t="s">
        <v>34</v>
      </c>
      <c r="Z80" s="19">
        <v>-15.000339277389539</v>
      </c>
      <c r="AA80" s="19">
        <v>0.98636898099375903</v>
      </c>
      <c r="AB80" s="19">
        <v>-3.3908501181639488</v>
      </c>
      <c r="AC80" s="19">
        <v>0.15145384335389664</v>
      </c>
      <c r="AD80" s="19">
        <v>10.121833333333335</v>
      </c>
      <c r="AE80" s="18" t="s">
        <v>34</v>
      </c>
      <c r="AF80" s="18" t="s">
        <v>34</v>
      </c>
    </row>
    <row r="81" spans="1:32" x14ac:dyDescent="0.25">
      <c r="A81" s="8" t="s">
        <v>116</v>
      </c>
      <c r="B81" s="31">
        <v>45250</v>
      </c>
      <c r="C81" s="35">
        <v>-32.593772999999999</v>
      </c>
      <c r="D81" s="35">
        <v>18.747599999999998</v>
      </c>
      <c r="E81" s="30">
        <v>11</v>
      </c>
      <c r="F81" s="16" t="s">
        <v>49</v>
      </c>
      <c r="G81" s="30">
        <v>11</v>
      </c>
      <c r="H81" s="19" t="s">
        <v>34</v>
      </c>
      <c r="I81" s="19">
        <v>1962</v>
      </c>
      <c r="J81" s="19" t="s">
        <v>34</v>
      </c>
      <c r="K81" s="19">
        <v>5.7750000000000004</v>
      </c>
      <c r="L81" s="16" t="s">
        <v>34</v>
      </c>
      <c r="M81" s="16" t="s">
        <v>34</v>
      </c>
      <c r="N81" s="19" t="s">
        <v>34</v>
      </c>
      <c r="O81" s="19" t="s">
        <v>34</v>
      </c>
      <c r="P81" s="19" t="s">
        <v>34</v>
      </c>
      <c r="Q81" s="19" t="s">
        <v>34</v>
      </c>
      <c r="R81" s="19" t="s">
        <v>34</v>
      </c>
      <c r="S81" s="19" t="s">
        <v>34</v>
      </c>
      <c r="T81" s="19" t="s">
        <v>34</v>
      </c>
      <c r="U81" s="19" t="s">
        <v>34</v>
      </c>
      <c r="V81" s="19" t="s">
        <v>34</v>
      </c>
      <c r="W81" s="19" t="s">
        <v>34</v>
      </c>
      <c r="X81" s="19" t="s">
        <v>34</v>
      </c>
      <c r="Y81" s="19" t="s">
        <v>34</v>
      </c>
      <c r="Z81" s="19">
        <v>-18.087631841957027</v>
      </c>
      <c r="AA81" s="19">
        <v>4.4166352200139036E-2</v>
      </c>
      <c r="AB81" s="19">
        <v>-4.0429614195884795</v>
      </c>
      <c r="AC81" s="19">
        <v>1.9245778757951214E-2</v>
      </c>
      <c r="AD81" s="19">
        <v>14.25605951475081</v>
      </c>
      <c r="AE81" s="18" t="s">
        <v>34</v>
      </c>
      <c r="AF81" s="18" t="s">
        <v>34</v>
      </c>
    </row>
    <row r="82" spans="1:32" x14ac:dyDescent="0.25">
      <c r="A82" s="8" t="s">
        <v>117</v>
      </c>
      <c r="B82" s="31">
        <v>45251</v>
      </c>
      <c r="C82" s="35">
        <v>-32.430473999999997</v>
      </c>
      <c r="D82" s="35">
        <v>18.804500000000001</v>
      </c>
      <c r="E82" s="19">
        <v>152</v>
      </c>
      <c r="F82" s="16" t="s">
        <v>33</v>
      </c>
      <c r="G82" s="19">
        <v>152</v>
      </c>
      <c r="H82" s="19" t="s">
        <v>34</v>
      </c>
      <c r="I82" s="19">
        <v>346</v>
      </c>
      <c r="J82" s="19" t="s">
        <v>34</v>
      </c>
      <c r="K82" s="19">
        <v>5.1520000000000001</v>
      </c>
      <c r="L82" s="16" t="s">
        <v>34</v>
      </c>
      <c r="M82" s="16">
        <f>SUM(N82:AD82)</f>
        <v>223.49594013398723</v>
      </c>
      <c r="N82" s="34">
        <v>91.57</v>
      </c>
      <c r="O82" s="34">
        <v>1.86</v>
      </c>
      <c r="P82" s="34">
        <v>19.09</v>
      </c>
      <c r="Q82" s="34">
        <v>9.32</v>
      </c>
      <c r="R82" s="14">
        <v>92.355000000000004</v>
      </c>
      <c r="S82" s="14">
        <v>7.2480000000000002</v>
      </c>
      <c r="T82" s="20">
        <v>2.8</v>
      </c>
      <c r="U82" s="14">
        <v>0.20300000000000001</v>
      </c>
      <c r="V82" s="14">
        <v>6.6130000000000004</v>
      </c>
      <c r="W82" s="14" t="s">
        <v>34</v>
      </c>
      <c r="X82" s="14">
        <v>0.30099999999999999</v>
      </c>
      <c r="Y82" s="14">
        <v>5.2999999999999999E-2</v>
      </c>
      <c r="Z82" s="19">
        <v>-18.523890483526948</v>
      </c>
      <c r="AA82" s="19">
        <v>3.3001010085552035E-2</v>
      </c>
      <c r="AB82" s="19">
        <v>-4.1534883494008916</v>
      </c>
      <c r="AC82" s="19">
        <v>2.3301645149359531E-2</v>
      </c>
      <c r="AD82" s="19">
        <v>14.704016311680185</v>
      </c>
      <c r="AE82" s="18" t="s">
        <v>34</v>
      </c>
      <c r="AF82" s="18" t="s">
        <v>34</v>
      </c>
    </row>
    <row r="83" spans="1:32" x14ac:dyDescent="0.25">
      <c r="A83" s="8" t="s">
        <v>118</v>
      </c>
      <c r="B83" s="31">
        <v>45251</v>
      </c>
      <c r="C83" s="35">
        <v>-32.443530000000003</v>
      </c>
      <c r="D83" s="35">
        <v>18.814699999999998</v>
      </c>
      <c r="E83" s="19">
        <v>118</v>
      </c>
      <c r="F83" s="16" t="s">
        <v>33</v>
      </c>
      <c r="G83" s="18">
        <v>340</v>
      </c>
      <c r="H83" s="19" t="s">
        <v>34</v>
      </c>
      <c r="I83" s="19">
        <v>261.10000000000002</v>
      </c>
      <c r="J83" s="19" t="s">
        <v>34</v>
      </c>
      <c r="K83" s="19">
        <v>6.0720000000000001</v>
      </c>
      <c r="L83" s="16" t="s">
        <v>34</v>
      </c>
      <c r="M83" s="16" t="s">
        <v>34</v>
      </c>
      <c r="N83" s="19" t="s">
        <v>34</v>
      </c>
      <c r="O83" s="19" t="s">
        <v>34</v>
      </c>
      <c r="P83" s="19" t="s">
        <v>34</v>
      </c>
      <c r="Q83" s="19" t="s">
        <v>34</v>
      </c>
      <c r="R83" s="19" t="s">
        <v>34</v>
      </c>
      <c r="S83" s="19" t="s">
        <v>34</v>
      </c>
      <c r="T83" s="19" t="s">
        <v>34</v>
      </c>
      <c r="U83" s="19" t="s">
        <v>34</v>
      </c>
      <c r="V83" s="19" t="s">
        <v>34</v>
      </c>
      <c r="W83" s="19" t="s">
        <v>34</v>
      </c>
      <c r="X83" s="19" t="s">
        <v>34</v>
      </c>
      <c r="Y83" s="19" t="s">
        <v>34</v>
      </c>
      <c r="Z83" s="19" t="s">
        <v>34</v>
      </c>
      <c r="AA83" s="19" t="s">
        <v>34</v>
      </c>
      <c r="AB83" s="19" t="s">
        <v>34</v>
      </c>
      <c r="AC83" s="19" t="s">
        <v>34</v>
      </c>
      <c r="AD83" s="19" t="s">
        <v>34</v>
      </c>
      <c r="AE83" s="18" t="s">
        <v>34</v>
      </c>
      <c r="AF83" s="18" t="s">
        <v>34</v>
      </c>
    </row>
    <row r="84" spans="1:32" x14ac:dyDescent="0.25">
      <c r="A84" s="8" t="s">
        <v>119</v>
      </c>
      <c r="B84" s="31">
        <v>45251</v>
      </c>
      <c r="C84" s="35">
        <v>-32.466805000000001</v>
      </c>
      <c r="D84" s="35">
        <v>18.7986</v>
      </c>
      <c r="E84" s="19">
        <v>170</v>
      </c>
      <c r="F84" s="16" t="s">
        <v>33</v>
      </c>
      <c r="G84" s="19">
        <v>170</v>
      </c>
      <c r="H84" s="19" t="s">
        <v>34</v>
      </c>
      <c r="I84" s="20">
        <v>1063</v>
      </c>
      <c r="J84" s="19" t="s">
        <v>34</v>
      </c>
      <c r="K84" s="19">
        <v>4.3810000000000002</v>
      </c>
      <c r="L84" s="16" t="s">
        <v>34</v>
      </c>
      <c r="M84" s="16" t="s">
        <v>34</v>
      </c>
      <c r="N84" s="19" t="s">
        <v>34</v>
      </c>
      <c r="O84" s="19" t="s">
        <v>34</v>
      </c>
      <c r="P84" s="19" t="s">
        <v>34</v>
      </c>
      <c r="Q84" s="19" t="s">
        <v>34</v>
      </c>
      <c r="R84" s="19" t="s">
        <v>34</v>
      </c>
      <c r="S84" s="19" t="s">
        <v>34</v>
      </c>
      <c r="T84" s="19" t="s">
        <v>34</v>
      </c>
      <c r="U84" s="19" t="s">
        <v>34</v>
      </c>
      <c r="V84" s="19" t="s">
        <v>34</v>
      </c>
      <c r="W84" s="19" t="s">
        <v>34</v>
      </c>
      <c r="X84" s="19" t="s">
        <v>34</v>
      </c>
      <c r="Y84" s="19" t="s">
        <v>34</v>
      </c>
      <c r="Z84" s="19">
        <v>-15.515948307655867</v>
      </c>
      <c r="AA84" s="19">
        <v>8.4762413053586005E-2</v>
      </c>
      <c r="AB84" s="19">
        <v>-3.5712514005950986</v>
      </c>
      <c r="AC84" s="19">
        <v>2.1273614330119428E-2</v>
      </c>
      <c r="AD84" s="19">
        <v>13.054062897104922</v>
      </c>
      <c r="AE84" s="18" t="s">
        <v>34</v>
      </c>
      <c r="AF84" s="18" t="s">
        <v>34</v>
      </c>
    </row>
    <row r="85" spans="1:32" x14ac:dyDescent="0.25">
      <c r="A85" s="8" t="s">
        <v>120</v>
      </c>
      <c r="B85" s="31">
        <v>45251</v>
      </c>
      <c r="C85" s="35">
        <v>-32.441130000000001</v>
      </c>
      <c r="D85" s="35">
        <v>18.7849</v>
      </c>
      <c r="E85" s="19">
        <v>80</v>
      </c>
      <c r="F85" s="16" t="s">
        <v>33</v>
      </c>
      <c r="G85" s="18">
        <v>229</v>
      </c>
      <c r="H85" s="19" t="s">
        <v>34</v>
      </c>
      <c r="I85" s="19">
        <v>417.4</v>
      </c>
      <c r="J85" s="19" t="s">
        <v>34</v>
      </c>
      <c r="K85" s="19">
        <v>5.2889999999999997</v>
      </c>
      <c r="L85" s="16" t="s">
        <v>34</v>
      </c>
      <c r="M85" s="16" t="s">
        <v>34</v>
      </c>
      <c r="N85" s="19" t="s">
        <v>34</v>
      </c>
      <c r="O85" s="19" t="s">
        <v>34</v>
      </c>
      <c r="P85" s="19" t="s">
        <v>34</v>
      </c>
      <c r="Q85" s="19" t="s">
        <v>34</v>
      </c>
      <c r="R85" s="19" t="s">
        <v>34</v>
      </c>
      <c r="S85" s="19" t="s">
        <v>34</v>
      </c>
      <c r="T85" s="19" t="s">
        <v>34</v>
      </c>
      <c r="U85" s="19" t="s">
        <v>34</v>
      </c>
      <c r="V85" s="19" t="s">
        <v>34</v>
      </c>
      <c r="W85" s="19" t="s">
        <v>34</v>
      </c>
      <c r="X85" s="19" t="s">
        <v>34</v>
      </c>
      <c r="Y85" s="19" t="s">
        <v>34</v>
      </c>
      <c r="Z85" s="19" t="s">
        <v>34</v>
      </c>
      <c r="AA85" s="19" t="s">
        <v>34</v>
      </c>
      <c r="AB85" s="19" t="s">
        <v>34</v>
      </c>
      <c r="AC85" s="19" t="s">
        <v>34</v>
      </c>
      <c r="AD85" s="19" t="s">
        <v>34</v>
      </c>
      <c r="AE85" s="18" t="s">
        <v>34</v>
      </c>
      <c r="AF85" s="18" t="s">
        <v>34</v>
      </c>
    </row>
    <row r="86" spans="1:32" x14ac:dyDescent="0.25">
      <c r="A86" s="8" t="s">
        <v>121</v>
      </c>
      <c r="B86" s="31">
        <v>45251</v>
      </c>
      <c r="C86" s="35">
        <v>-32.464528000000001</v>
      </c>
      <c r="D86" s="35">
        <v>18.725836999999999</v>
      </c>
      <c r="E86" s="19">
        <v>54</v>
      </c>
      <c r="F86" s="16" t="s">
        <v>33</v>
      </c>
      <c r="G86" s="18">
        <v>136</v>
      </c>
      <c r="H86" s="19" t="s">
        <v>34</v>
      </c>
      <c r="I86" s="19">
        <v>798.4</v>
      </c>
      <c r="J86" s="19" t="s">
        <v>34</v>
      </c>
      <c r="K86" s="19">
        <v>4.6100000000000003</v>
      </c>
      <c r="L86" s="16" t="s">
        <v>34</v>
      </c>
      <c r="M86" s="16" t="s">
        <v>34</v>
      </c>
      <c r="N86" s="19" t="s">
        <v>34</v>
      </c>
      <c r="O86" s="19" t="s">
        <v>34</v>
      </c>
      <c r="P86" s="19" t="s">
        <v>34</v>
      </c>
      <c r="Q86" s="19" t="s">
        <v>34</v>
      </c>
      <c r="R86" s="19" t="s">
        <v>34</v>
      </c>
      <c r="S86" s="19" t="s">
        <v>34</v>
      </c>
      <c r="T86" s="19" t="s">
        <v>34</v>
      </c>
      <c r="U86" s="19" t="s">
        <v>34</v>
      </c>
      <c r="V86" s="19" t="s">
        <v>34</v>
      </c>
      <c r="W86" s="19" t="s">
        <v>34</v>
      </c>
      <c r="X86" s="19" t="s">
        <v>34</v>
      </c>
      <c r="Y86" s="19" t="s">
        <v>34</v>
      </c>
      <c r="Z86" s="19" t="s">
        <v>34</v>
      </c>
      <c r="AA86" s="19" t="s">
        <v>34</v>
      </c>
      <c r="AB86" s="19" t="s">
        <v>34</v>
      </c>
      <c r="AC86" s="19" t="s">
        <v>34</v>
      </c>
      <c r="AD86" s="19" t="s">
        <v>34</v>
      </c>
      <c r="AE86" s="18" t="s">
        <v>34</v>
      </c>
      <c r="AF86" s="18" t="s">
        <v>34</v>
      </c>
    </row>
    <row r="87" spans="1:32" x14ac:dyDescent="0.25">
      <c r="A87" s="8" t="s">
        <v>122</v>
      </c>
      <c r="B87" s="31">
        <v>45251</v>
      </c>
      <c r="C87" s="35">
        <v>-32.465181000000001</v>
      </c>
      <c r="D87" s="35">
        <v>18.745241</v>
      </c>
      <c r="E87" s="19">
        <v>138</v>
      </c>
      <c r="F87" s="16" t="s">
        <v>33</v>
      </c>
      <c r="G87" s="19">
        <v>138</v>
      </c>
      <c r="H87" s="19" t="s">
        <v>34</v>
      </c>
      <c r="I87" s="19">
        <v>664.9</v>
      </c>
      <c r="J87" s="19" t="s">
        <v>34</v>
      </c>
      <c r="K87" s="19">
        <v>4.7149999999999999</v>
      </c>
      <c r="L87" s="16" t="s">
        <v>34</v>
      </c>
      <c r="M87" s="16" t="s">
        <v>34</v>
      </c>
      <c r="N87" s="19" t="s">
        <v>34</v>
      </c>
      <c r="O87" s="19" t="s">
        <v>34</v>
      </c>
      <c r="P87" s="19" t="s">
        <v>34</v>
      </c>
      <c r="Q87" s="19" t="s">
        <v>34</v>
      </c>
      <c r="R87" s="19" t="s">
        <v>34</v>
      </c>
      <c r="S87" s="19" t="s">
        <v>34</v>
      </c>
      <c r="T87" s="19" t="s">
        <v>34</v>
      </c>
      <c r="U87" s="19" t="s">
        <v>34</v>
      </c>
      <c r="V87" s="19" t="s">
        <v>34</v>
      </c>
      <c r="W87" s="19" t="s">
        <v>34</v>
      </c>
      <c r="X87" s="19" t="s">
        <v>34</v>
      </c>
      <c r="Y87" s="19" t="s">
        <v>34</v>
      </c>
      <c r="Z87" s="19">
        <v>-16.599969488285787</v>
      </c>
      <c r="AA87" s="19">
        <v>2.2772058902670232E-2</v>
      </c>
      <c r="AB87" s="19">
        <v>-3.737129376082188</v>
      </c>
      <c r="AC87" s="19">
        <v>2.4915858403835967E-2</v>
      </c>
      <c r="AD87" s="19">
        <v>13.297065520371717</v>
      </c>
      <c r="AE87" s="18" t="s">
        <v>34</v>
      </c>
      <c r="AF87" s="18" t="s">
        <v>34</v>
      </c>
    </row>
    <row r="88" spans="1:32" x14ac:dyDescent="0.25">
      <c r="A88" s="8" t="s">
        <v>123</v>
      </c>
      <c r="B88" s="31">
        <v>45251</v>
      </c>
      <c r="C88" s="35">
        <v>-32.464212000000003</v>
      </c>
      <c r="D88" s="35">
        <v>18.732264000000001</v>
      </c>
      <c r="E88" s="19">
        <v>50</v>
      </c>
      <c r="F88" s="16" t="s">
        <v>33</v>
      </c>
      <c r="G88" s="19">
        <v>133</v>
      </c>
      <c r="H88" s="19" t="s">
        <v>34</v>
      </c>
      <c r="I88" s="19">
        <v>768.8</v>
      </c>
      <c r="J88" s="19" t="s">
        <v>34</v>
      </c>
      <c r="K88" s="19">
        <v>4.8369999999999997</v>
      </c>
      <c r="L88" s="16" t="s">
        <v>34</v>
      </c>
      <c r="M88" s="16">
        <f>SUM(N88:AD88)</f>
        <v>374.10007250722299</v>
      </c>
      <c r="N88" s="34">
        <v>92.08</v>
      </c>
      <c r="O88" s="34">
        <v>1.883</v>
      </c>
      <c r="P88" s="34">
        <v>19.170000000000002</v>
      </c>
      <c r="Q88" s="34">
        <v>9.4480000000000004</v>
      </c>
      <c r="R88" s="14">
        <v>217.12299999999999</v>
      </c>
      <c r="S88" s="14">
        <v>16.742999999999999</v>
      </c>
      <c r="T88" s="20">
        <v>2.4</v>
      </c>
      <c r="U88" s="14">
        <v>0.1</v>
      </c>
      <c r="V88" s="14">
        <v>21.675000000000001</v>
      </c>
      <c r="W88" s="14" t="s">
        <v>34</v>
      </c>
      <c r="X88" s="14">
        <v>0.61199999999999999</v>
      </c>
      <c r="Y88" s="14">
        <v>5.0999999999999997E-2</v>
      </c>
      <c r="Z88" s="19">
        <v>-17.142404785222208</v>
      </c>
      <c r="AA88" s="19">
        <v>0.101186955681056</v>
      </c>
      <c r="AB88" s="19">
        <v>-3.8527359904660097</v>
      </c>
      <c r="AC88" s="19">
        <v>2.9543188724306606E-2</v>
      </c>
      <c r="AD88" s="19">
        <v>13.679483138505869</v>
      </c>
      <c r="AE88" s="18" t="s">
        <v>34</v>
      </c>
      <c r="AF88" s="18" t="s">
        <v>34</v>
      </c>
    </row>
    <row r="89" spans="1:32" x14ac:dyDescent="0.25">
      <c r="A89" s="8" t="s">
        <v>124</v>
      </c>
      <c r="B89" s="31">
        <v>45251</v>
      </c>
      <c r="C89" s="35" t="s">
        <v>34</v>
      </c>
      <c r="D89" s="35" t="s">
        <v>34</v>
      </c>
      <c r="E89" s="14" t="s">
        <v>34</v>
      </c>
      <c r="F89" s="35" t="s">
        <v>34</v>
      </c>
      <c r="G89" s="14" t="s">
        <v>34</v>
      </c>
      <c r="H89" s="14" t="s">
        <v>34</v>
      </c>
      <c r="I89" s="19">
        <v>5352</v>
      </c>
      <c r="J89" s="19" t="s">
        <v>34</v>
      </c>
      <c r="K89" s="19">
        <v>6.327</v>
      </c>
      <c r="L89" s="16" t="s">
        <v>34</v>
      </c>
      <c r="M89" s="16" t="s">
        <v>34</v>
      </c>
      <c r="N89" s="19" t="s">
        <v>34</v>
      </c>
      <c r="O89" s="19" t="s">
        <v>34</v>
      </c>
      <c r="P89" s="19" t="s">
        <v>34</v>
      </c>
      <c r="Q89" s="19" t="s">
        <v>34</v>
      </c>
      <c r="R89" s="19" t="s">
        <v>34</v>
      </c>
      <c r="S89" s="19" t="s">
        <v>34</v>
      </c>
      <c r="T89" s="19" t="s">
        <v>34</v>
      </c>
      <c r="U89" s="19" t="s">
        <v>34</v>
      </c>
      <c r="V89" s="19" t="s">
        <v>34</v>
      </c>
      <c r="W89" s="19" t="s">
        <v>34</v>
      </c>
      <c r="X89" s="19" t="s">
        <v>34</v>
      </c>
      <c r="Y89" s="19" t="s">
        <v>34</v>
      </c>
      <c r="Z89" s="19" t="s">
        <v>34</v>
      </c>
      <c r="AA89" s="19" t="s">
        <v>34</v>
      </c>
      <c r="AB89" s="19" t="s">
        <v>34</v>
      </c>
      <c r="AC89" s="19" t="s">
        <v>34</v>
      </c>
      <c r="AD89" s="19" t="s">
        <v>34</v>
      </c>
      <c r="AE89" s="18" t="s">
        <v>34</v>
      </c>
      <c r="AF89" s="18" t="s">
        <v>34</v>
      </c>
    </row>
    <row r="90" spans="1:32" x14ac:dyDescent="0.25">
      <c r="A90" s="8" t="s">
        <v>125</v>
      </c>
      <c r="B90" s="31">
        <v>45250</v>
      </c>
      <c r="C90" s="23">
        <v>-32.704644000000002</v>
      </c>
      <c r="D90" s="23">
        <v>18.795452000000001</v>
      </c>
      <c r="E90" s="19">
        <v>80</v>
      </c>
      <c r="F90" s="16" t="s">
        <v>33</v>
      </c>
      <c r="G90" s="14">
        <v>193</v>
      </c>
      <c r="H90" s="19" t="s">
        <v>34</v>
      </c>
      <c r="I90" s="19">
        <v>291.5</v>
      </c>
      <c r="J90" s="19" t="s">
        <v>34</v>
      </c>
      <c r="K90" s="19">
        <v>7.0229999999999997</v>
      </c>
      <c r="L90" s="16" t="s">
        <v>34</v>
      </c>
      <c r="M90" s="16" t="s">
        <v>34</v>
      </c>
      <c r="N90" s="19" t="s">
        <v>34</v>
      </c>
      <c r="O90" s="19" t="s">
        <v>34</v>
      </c>
      <c r="P90" s="19" t="s">
        <v>34</v>
      </c>
      <c r="Q90" s="19" t="s">
        <v>34</v>
      </c>
      <c r="R90" s="19" t="s">
        <v>34</v>
      </c>
      <c r="S90" s="19" t="s">
        <v>34</v>
      </c>
      <c r="T90" s="19" t="s">
        <v>34</v>
      </c>
      <c r="U90" s="19" t="s">
        <v>34</v>
      </c>
      <c r="V90" s="19" t="s">
        <v>34</v>
      </c>
      <c r="W90" s="19" t="s">
        <v>34</v>
      </c>
      <c r="X90" s="19" t="s">
        <v>34</v>
      </c>
      <c r="Y90" s="19" t="s">
        <v>34</v>
      </c>
      <c r="Z90" s="19">
        <v>-16.636664140380454</v>
      </c>
      <c r="AA90" s="19">
        <v>9.468139556780221E-2</v>
      </c>
      <c r="AB90" s="19">
        <v>-3.9206986668007415</v>
      </c>
      <c r="AC90" s="19">
        <v>4.1214884042863255E-2</v>
      </c>
      <c r="AD90" s="19">
        <v>14.728925194025479</v>
      </c>
      <c r="AE90" s="18" t="s">
        <v>34</v>
      </c>
      <c r="AF90" s="18" t="s">
        <v>34</v>
      </c>
    </row>
    <row r="91" spans="1:32" x14ac:dyDescent="0.25">
      <c r="A91" s="8" t="s">
        <v>126</v>
      </c>
      <c r="B91" s="31">
        <v>45250</v>
      </c>
      <c r="C91" s="23">
        <v>-32.609400000000001</v>
      </c>
      <c r="D91" s="23">
        <v>18.7761</v>
      </c>
      <c r="E91" s="19">
        <v>218</v>
      </c>
      <c r="F91" s="16" t="s">
        <v>38</v>
      </c>
      <c r="G91" s="14">
        <v>72</v>
      </c>
      <c r="H91" s="19" t="s">
        <v>34</v>
      </c>
      <c r="I91" s="19">
        <v>615.70000000000005</v>
      </c>
      <c r="J91" s="19" t="s">
        <v>34</v>
      </c>
      <c r="K91" s="19">
        <v>6.8810000000000002</v>
      </c>
      <c r="L91" s="16" t="s">
        <v>34</v>
      </c>
      <c r="M91" s="16">
        <f>SUM(N91:AD91)</f>
        <v>299.66362152223081</v>
      </c>
      <c r="N91" s="34">
        <v>69.36</v>
      </c>
      <c r="O91" s="34">
        <v>4.4880000000000004</v>
      </c>
      <c r="P91" s="34">
        <v>9.4589999999999996</v>
      </c>
      <c r="Q91" s="34">
        <v>23.06</v>
      </c>
      <c r="R91" s="14">
        <v>140.96799999999999</v>
      </c>
      <c r="S91" s="14">
        <v>12.193</v>
      </c>
      <c r="T91" s="20">
        <v>31.7</v>
      </c>
      <c r="U91" s="14" t="s">
        <v>34</v>
      </c>
      <c r="V91" s="14">
        <v>12.861000000000001</v>
      </c>
      <c r="W91" s="14" t="s">
        <v>34</v>
      </c>
      <c r="X91" s="14">
        <v>0.438</v>
      </c>
      <c r="Y91" s="14">
        <v>0.05</v>
      </c>
      <c r="Z91" s="19">
        <v>-14.58957822491414</v>
      </c>
      <c r="AA91" s="19">
        <v>5.9601174485072156E-2</v>
      </c>
      <c r="AB91" s="19">
        <v>-3.4537180093048798</v>
      </c>
      <c r="AC91" s="19">
        <v>3.0150732439970008E-2</v>
      </c>
      <c r="AD91" s="19">
        <v>13.040165849524898</v>
      </c>
      <c r="AE91" s="18" t="s">
        <v>34</v>
      </c>
      <c r="AF91" s="18" t="s">
        <v>34</v>
      </c>
    </row>
    <row r="92" spans="1:32" x14ac:dyDescent="0.25">
      <c r="A92" s="8" t="s">
        <v>127</v>
      </c>
      <c r="B92" s="9">
        <v>45313</v>
      </c>
      <c r="C92" s="23">
        <v>-32.725839999999998</v>
      </c>
      <c r="D92" s="23">
        <v>18.6706</v>
      </c>
      <c r="E92" s="12">
        <v>100</v>
      </c>
      <c r="F92" s="13" t="s">
        <v>33</v>
      </c>
      <c r="G92" s="14">
        <v>745</v>
      </c>
      <c r="H92" s="19" t="s">
        <v>34</v>
      </c>
      <c r="I92" s="19">
        <v>109.5</v>
      </c>
      <c r="J92" s="19" t="s">
        <v>34</v>
      </c>
      <c r="K92" s="19">
        <v>4.9290000000000003</v>
      </c>
      <c r="L92" s="16" t="s">
        <v>34</v>
      </c>
      <c r="M92" s="16">
        <f>SUM(N92:AD92)</f>
        <v>56.044562338102793</v>
      </c>
      <c r="N92" s="18">
        <v>10.6772082565417</v>
      </c>
      <c r="O92" s="18">
        <v>0.37458687671330099</v>
      </c>
      <c r="P92" s="18">
        <v>2.0947232413646599</v>
      </c>
      <c r="Q92" s="18">
        <v>5.1028574916470104</v>
      </c>
      <c r="R92" s="18">
        <v>22.661000000000001</v>
      </c>
      <c r="S92" s="18">
        <v>0.97699999999999998</v>
      </c>
      <c r="T92" s="19">
        <v>5</v>
      </c>
      <c r="U92" s="18">
        <v>0.22700000000000001</v>
      </c>
      <c r="V92" s="18">
        <v>10.465999999999999</v>
      </c>
      <c r="W92" s="18" t="s">
        <v>34</v>
      </c>
      <c r="X92" s="18">
        <v>7.4999999999999997E-2</v>
      </c>
      <c r="Y92" s="18">
        <v>0.05</v>
      </c>
      <c r="Z92" s="19">
        <v>-13.428090556528815</v>
      </c>
      <c r="AA92" s="19">
        <v>8.3794987916939484E-2</v>
      </c>
      <c r="AB92" s="19">
        <v>-3.5849140004768225</v>
      </c>
      <c r="AC92" s="19">
        <v>1.7174593639055002E-2</v>
      </c>
      <c r="AD92" s="19">
        <v>15.251221447285765</v>
      </c>
      <c r="AE92" s="18" t="s">
        <v>34</v>
      </c>
      <c r="AF92" s="18" t="s">
        <v>34</v>
      </c>
    </row>
    <row r="93" spans="1:32" x14ac:dyDescent="0.25">
      <c r="A93" s="8" t="s">
        <v>128</v>
      </c>
      <c r="B93" s="9">
        <v>45315</v>
      </c>
      <c r="C93" s="35" t="s">
        <v>34</v>
      </c>
      <c r="D93" s="35" t="s">
        <v>34</v>
      </c>
      <c r="E93" s="14" t="s">
        <v>34</v>
      </c>
      <c r="F93" s="35" t="s">
        <v>34</v>
      </c>
      <c r="G93" s="14" t="s">
        <v>34</v>
      </c>
      <c r="H93" s="14" t="s">
        <v>34</v>
      </c>
      <c r="I93" s="19">
        <v>1.901</v>
      </c>
      <c r="J93" s="19" t="s">
        <v>34</v>
      </c>
      <c r="K93" s="19">
        <v>6.4210000000000003</v>
      </c>
      <c r="L93" s="16" t="s">
        <v>34</v>
      </c>
      <c r="M93" s="16" t="s">
        <v>34</v>
      </c>
      <c r="N93" s="19" t="s">
        <v>34</v>
      </c>
      <c r="O93" s="19" t="s">
        <v>34</v>
      </c>
      <c r="P93" s="19" t="s">
        <v>34</v>
      </c>
      <c r="Q93" s="19" t="s">
        <v>34</v>
      </c>
      <c r="R93" s="19" t="s">
        <v>34</v>
      </c>
      <c r="S93" s="19" t="s">
        <v>34</v>
      </c>
      <c r="T93" s="19" t="s">
        <v>34</v>
      </c>
      <c r="U93" s="19" t="s">
        <v>34</v>
      </c>
      <c r="V93" s="19" t="s">
        <v>34</v>
      </c>
      <c r="W93" s="19" t="s">
        <v>34</v>
      </c>
      <c r="X93" s="19" t="s">
        <v>34</v>
      </c>
      <c r="Y93" s="19" t="s">
        <v>34</v>
      </c>
      <c r="Z93" s="19" t="s">
        <v>34</v>
      </c>
      <c r="AA93" s="19" t="s">
        <v>34</v>
      </c>
      <c r="AB93" s="19" t="s">
        <v>34</v>
      </c>
      <c r="AC93" s="19" t="s">
        <v>34</v>
      </c>
      <c r="AD93" s="19" t="s">
        <v>34</v>
      </c>
      <c r="AE93" s="18" t="s">
        <v>34</v>
      </c>
      <c r="AF93" s="18" t="s">
        <v>34</v>
      </c>
    </row>
    <row r="94" spans="1:32" x14ac:dyDescent="0.25">
      <c r="A94" s="8" t="s">
        <v>129</v>
      </c>
      <c r="B94" s="9">
        <v>45315</v>
      </c>
      <c r="C94" s="23">
        <v>-32.689799999999998</v>
      </c>
      <c r="D94" s="23">
        <v>18.692699999999999</v>
      </c>
      <c r="E94" s="19">
        <v>68</v>
      </c>
      <c r="F94" s="16" t="s">
        <v>38</v>
      </c>
      <c r="G94" s="14">
        <v>82.42</v>
      </c>
      <c r="H94" s="19" t="s">
        <v>34</v>
      </c>
      <c r="I94" s="19">
        <v>1079</v>
      </c>
      <c r="J94" s="19" t="s">
        <v>34</v>
      </c>
      <c r="K94" s="19">
        <v>6.9630000000000001</v>
      </c>
      <c r="L94" s="16" t="s">
        <v>34</v>
      </c>
      <c r="M94" s="16" t="s">
        <v>34</v>
      </c>
      <c r="N94" s="19" t="s">
        <v>34</v>
      </c>
      <c r="O94" s="19" t="s">
        <v>34</v>
      </c>
      <c r="P94" s="19" t="s">
        <v>34</v>
      </c>
      <c r="Q94" s="19" t="s">
        <v>34</v>
      </c>
      <c r="R94" s="19" t="s">
        <v>34</v>
      </c>
      <c r="S94" s="19" t="s">
        <v>34</v>
      </c>
      <c r="T94" s="19" t="s">
        <v>34</v>
      </c>
      <c r="U94" s="19" t="s">
        <v>34</v>
      </c>
      <c r="V94" s="19" t="s">
        <v>34</v>
      </c>
      <c r="W94" s="19" t="s">
        <v>34</v>
      </c>
      <c r="X94" s="19" t="s">
        <v>34</v>
      </c>
      <c r="Y94" s="19" t="s">
        <v>34</v>
      </c>
      <c r="Z94" s="19">
        <v>-10.87968094508399</v>
      </c>
      <c r="AA94" s="19">
        <v>8.7501809505099254E-2</v>
      </c>
      <c r="AB94" s="19">
        <v>-2.9543324674741585</v>
      </c>
      <c r="AC94" s="19">
        <v>3.1751640377572013E-2</v>
      </c>
      <c r="AD94" s="19">
        <v>12.754978794709277</v>
      </c>
      <c r="AE94" s="18" t="s">
        <v>34</v>
      </c>
      <c r="AF94" s="18" t="s">
        <v>34</v>
      </c>
    </row>
    <row r="95" spans="1:32" x14ac:dyDescent="0.25">
      <c r="A95" s="8" t="s">
        <v>130</v>
      </c>
      <c r="B95" s="9">
        <v>45315</v>
      </c>
      <c r="C95" s="23">
        <v>-32.708300000000001</v>
      </c>
      <c r="D95" s="23">
        <v>18.714400000000001</v>
      </c>
      <c r="E95" s="19">
        <v>48</v>
      </c>
      <c r="F95" s="16" t="s">
        <v>38</v>
      </c>
      <c r="G95" s="18">
        <v>104</v>
      </c>
      <c r="H95" s="19" t="s">
        <v>34</v>
      </c>
      <c r="I95" s="19">
        <v>861.3</v>
      </c>
      <c r="J95" s="19" t="s">
        <v>34</v>
      </c>
      <c r="K95" s="19">
        <v>6.891</v>
      </c>
      <c r="L95" s="16" t="s">
        <v>34</v>
      </c>
      <c r="M95" s="16" t="s">
        <v>34</v>
      </c>
      <c r="N95" s="19" t="s">
        <v>34</v>
      </c>
      <c r="O95" s="19" t="s">
        <v>34</v>
      </c>
      <c r="P95" s="19" t="s">
        <v>34</v>
      </c>
      <c r="Q95" s="19" t="s">
        <v>34</v>
      </c>
      <c r="R95" s="19" t="s">
        <v>34</v>
      </c>
      <c r="S95" s="19" t="s">
        <v>34</v>
      </c>
      <c r="T95" s="19" t="s">
        <v>34</v>
      </c>
      <c r="U95" s="19" t="s">
        <v>34</v>
      </c>
      <c r="V95" s="19" t="s">
        <v>34</v>
      </c>
      <c r="W95" s="19" t="s">
        <v>34</v>
      </c>
      <c r="X95" s="19" t="s">
        <v>34</v>
      </c>
      <c r="Y95" s="19" t="s">
        <v>34</v>
      </c>
      <c r="Z95" s="19">
        <v>-8.4812777123409724</v>
      </c>
      <c r="AA95" s="19">
        <v>6.131693621395852E-2</v>
      </c>
      <c r="AB95" s="19">
        <v>-2.4630043563429163</v>
      </c>
      <c r="AC95" s="19">
        <v>2.492120917344641E-2</v>
      </c>
      <c r="AD95" s="19">
        <v>11.222757138402358</v>
      </c>
      <c r="AE95" s="18" t="s">
        <v>34</v>
      </c>
      <c r="AF95" s="18" t="s">
        <v>34</v>
      </c>
    </row>
    <row r="96" spans="1:32" x14ac:dyDescent="0.25">
      <c r="A96" s="8" t="s">
        <v>131</v>
      </c>
      <c r="B96" s="9">
        <v>45315</v>
      </c>
      <c r="C96" s="23">
        <v>-32.694377000000003</v>
      </c>
      <c r="D96" s="23">
        <v>18.712679999999999</v>
      </c>
      <c r="E96" s="19">
        <v>83</v>
      </c>
      <c r="F96" s="16" t="s">
        <v>38</v>
      </c>
      <c r="G96" s="19">
        <v>107</v>
      </c>
      <c r="H96" s="19" t="s">
        <v>34</v>
      </c>
      <c r="I96" s="19">
        <v>1224</v>
      </c>
      <c r="J96" s="19" t="s">
        <v>34</v>
      </c>
      <c r="K96" s="19">
        <v>7.0490000000000004</v>
      </c>
      <c r="L96" s="16" t="s">
        <v>34</v>
      </c>
      <c r="M96" s="16" t="s">
        <v>34</v>
      </c>
      <c r="N96" s="19" t="s">
        <v>34</v>
      </c>
      <c r="O96" s="19" t="s">
        <v>34</v>
      </c>
      <c r="P96" s="19" t="s">
        <v>34</v>
      </c>
      <c r="Q96" s="19" t="s">
        <v>34</v>
      </c>
      <c r="R96" s="19" t="s">
        <v>34</v>
      </c>
      <c r="S96" s="19" t="s">
        <v>34</v>
      </c>
      <c r="T96" s="19" t="s">
        <v>34</v>
      </c>
      <c r="U96" s="19" t="s">
        <v>34</v>
      </c>
      <c r="V96" s="19" t="s">
        <v>34</v>
      </c>
      <c r="W96" s="19" t="s">
        <v>34</v>
      </c>
      <c r="X96" s="19" t="s">
        <v>34</v>
      </c>
      <c r="Y96" s="19" t="s">
        <v>34</v>
      </c>
      <c r="Z96" s="19">
        <v>-11.662160424473022</v>
      </c>
      <c r="AA96" s="19">
        <v>7.6290890675099574E-2</v>
      </c>
      <c r="AB96" s="19">
        <v>-3.1132039814834411</v>
      </c>
      <c r="AC96" s="19">
        <v>1.254857229594929E-2</v>
      </c>
      <c r="AD96" s="19">
        <v>13.243471427394507</v>
      </c>
      <c r="AE96" s="18" t="s">
        <v>34</v>
      </c>
      <c r="AF96" s="18" t="s">
        <v>34</v>
      </c>
    </row>
    <row r="97" spans="1:32" x14ac:dyDescent="0.25">
      <c r="A97" s="8" t="s">
        <v>132</v>
      </c>
      <c r="B97" s="9">
        <v>45315</v>
      </c>
      <c r="C97" s="23">
        <v>-32.681600000000003</v>
      </c>
      <c r="D97" s="23">
        <v>18.719042000000002</v>
      </c>
      <c r="E97" s="19">
        <v>100</v>
      </c>
      <c r="F97" s="16" t="s">
        <v>38</v>
      </c>
      <c r="G97" s="18">
        <v>145</v>
      </c>
      <c r="H97" s="19" t="s">
        <v>34</v>
      </c>
      <c r="I97" s="19">
        <v>2185</v>
      </c>
      <c r="J97" s="19" t="s">
        <v>34</v>
      </c>
      <c r="K97" s="19">
        <v>5.6020000000000003</v>
      </c>
      <c r="L97" s="16" t="s">
        <v>34</v>
      </c>
      <c r="M97" s="16" t="s">
        <v>34</v>
      </c>
      <c r="N97" s="19" t="s">
        <v>34</v>
      </c>
      <c r="O97" s="19" t="s">
        <v>34</v>
      </c>
      <c r="P97" s="19" t="s">
        <v>34</v>
      </c>
      <c r="Q97" s="19" t="s">
        <v>34</v>
      </c>
      <c r="R97" s="19" t="s">
        <v>34</v>
      </c>
      <c r="S97" s="19" t="s">
        <v>34</v>
      </c>
      <c r="T97" s="19" t="s">
        <v>34</v>
      </c>
      <c r="U97" s="19" t="s">
        <v>34</v>
      </c>
      <c r="V97" s="19" t="s">
        <v>34</v>
      </c>
      <c r="W97" s="19" t="s">
        <v>34</v>
      </c>
      <c r="X97" s="19" t="s">
        <v>34</v>
      </c>
      <c r="Y97" s="19" t="s">
        <v>34</v>
      </c>
      <c r="Z97" s="19">
        <v>-11.916474749406888</v>
      </c>
      <c r="AA97" s="19">
        <v>8.0179797954347362E-2</v>
      </c>
      <c r="AB97" s="19">
        <v>-3.2076160498968953</v>
      </c>
      <c r="AC97" s="19">
        <v>3.5176223030147294E-2</v>
      </c>
      <c r="AD97" s="19">
        <v>13.744453649768275</v>
      </c>
      <c r="AE97" s="18" t="s">
        <v>34</v>
      </c>
      <c r="AF97" s="18" t="s">
        <v>34</v>
      </c>
    </row>
    <row r="98" spans="1:32" x14ac:dyDescent="0.25">
      <c r="A98" s="8" t="s">
        <v>133</v>
      </c>
      <c r="B98" s="9">
        <v>45315</v>
      </c>
      <c r="C98" s="23">
        <v>-32.650599999999997</v>
      </c>
      <c r="D98" s="23">
        <v>18.697199999999999</v>
      </c>
      <c r="E98" s="19">
        <v>68</v>
      </c>
      <c r="F98" s="16" t="s">
        <v>38</v>
      </c>
      <c r="G98" s="18">
        <v>92</v>
      </c>
      <c r="H98" s="19" t="s">
        <v>34</v>
      </c>
      <c r="I98" s="19">
        <v>2.4649999999999999</v>
      </c>
      <c r="J98" s="19" t="s">
        <v>34</v>
      </c>
      <c r="K98" s="19">
        <v>7.3959999999999999</v>
      </c>
      <c r="L98" s="16" t="s">
        <v>34</v>
      </c>
      <c r="M98" s="16">
        <f>SUM(N98:AD98)</f>
        <v>1626.7175561976371</v>
      </c>
      <c r="N98" s="18">
        <v>232.98606324097699</v>
      </c>
      <c r="O98" s="18">
        <v>8.0624178103012003</v>
      </c>
      <c r="P98" s="18">
        <v>67.614109666604406</v>
      </c>
      <c r="Q98" s="18">
        <v>159.93533473798399</v>
      </c>
      <c r="R98" s="18">
        <v>865.22699999999998</v>
      </c>
      <c r="S98" s="18">
        <v>115.056</v>
      </c>
      <c r="T98" s="19">
        <v>178.5</v>
      </c>
      <c r="U98" s="18" t="s">
        <v>34</v>
      </c>
      <c r="V98" s="18" t="s">
        <v>34</v>
      </c>
      <c r="W98" s="18" t="s">
        <v>34</v>
      </c>
      <c r="X98" s="18">
        <v>2.1110000000000002</v>
      </c>
      <c r="Y98" s="18">
        <v>0.17100000000000001</v>
      </c>
      <c r="Z98" s="19">
        <v>-13.782465761480079</v>
      </c>
      <c r="AA98" s="19">
        <v>9.6744336612882606E-2</v>
      </c>
      <c r="AB98" s="19">
        <v>-3.4971580704672856</v>
      </c>
      <c r="AC98" s="19">
        <v>4.2711434846732475E-2</v>
      </c>
      <c r="AD98" s="19">
        <v>14.194798802258205</v>
      </c>
      <c r="AE98" s="18" t="s">
        <v>34</v>
      </c>
      <c r="AF98" s="18" t="s">
        <v>34</v>
      </c>
    </row>
    <row r="99" spans="1:32" x14ac:dyDescent="0.25">
      <c r="A99" s="25" t="s">
        <v>134</v>
      </c>
      <c r="B99" s="9">
        <v>45315</v>
      </c>
      <c r="C99" s="23">
        <v>-32.603320019999998</v>
      </c>
      <c r="D99" s="23">
        <v>18.57616299</v>
      </c>
      <c r="E99" s="19" t="s">
        <v>34</v>
      </c>
      <c r="F99" s="16" t="s">
        <v>33</v>
      </c>
      <c r="G99" s="19">
        <v>146</v>
      </c>
      <c r="H99" s="19" t="s">
        <v>34</v>
      </c>
      <c r="I99" s="19">
        <v>713.3</v>
      </c>
      <c r="J99" s="19" t="s">
        <v>34</v>
      </c>
      <c r="K99" s="19">
        <v>7.4950000000000001</v>
      </c>
      <c r="L99" s="16" t="s">
        <v>34</v>
      </c>
      <c r="M99" s="16" t="s">
        <v>34</v>
      </c>
      <c r="N99" s="19" t="s">
        <v>34</v>
      </c>
      <c r="O99" s="19" t="s">
        <v>34</v>
      </c>
      <c r="P99" s="19" t="s">
        <v>34</v>
      </c>
      <c r="Q99" s="19" t="s">
        <v>34</v>
      </c>
      <c r="R99" s="19" t="s">
        <v>34</v>
      </c>
      <c r="S99" s="19" t="s">
        <v>34</v>
      </c>
      <c r="T99" s="19" t="s">
        <v>34</v>
      </c>
      <c r="U99" s="19" t="s">
        <v>34</v>
      </c>
      <c r="V99" s="19" t="s">
        <v>34</v>
      </c>
      <c r="W99" s="19" t="s">
        <v>34</v>
      </c>
      <c r="X99" s="19" t="s">
        <v>34</v>
      </c>
      <c r="Y99" s="19" t="s">
        <v>34</v>
      </c>
      <c r="Z99" s="19">
        <v>-13.862650371612865</v>
      </c>
      <c r="AA99" s="19">
        <v>7.8186102771955326E-2</v>
      </c>
      <c r="AB99" s="19">
        <v>-3.4397050863492651</v>
      </c>
      <c r="AC99" s="19">
        <v>3.9824615503479668E-2</v>
      </c>
      <c r="AD99" s="19">
        <v>13.654990319181255</v>
      </c>
      <c r="AE99" s="18" t="s">
        <v>34</v>
      </c>
      <c r="AF99" s="18" t="s">
        <v>34</v>
      </c>
    </row>
    <row r="100" spans="1:32" x14ac:dyDescent="0.25">
      <c r="A100" s="25" t="s">
        <v>135</v>
      </c>
      <c r="B100" s="9">
        <v>45315</v>
      </c>
      <c r="C100" s="23">
        <v>-32.602200000000003</v>
      </c>
      <c r="D100" s="23">
        <v>18.565000000000001</v>
      </c>
      <c r="E100" s="19" t="s">
        <v>34</v>
      </c>
      <c r="F100" s="13" t="s">
        <v>33</v>
      </c>
      <c r="G100" s="18">
        <v>194</v>
      </c>
      <c r="H100" s="19" t="s">
        <v>34</v>
      </c>
      <c r="I100" s="19">
        <v>323.7</v>
      </c>
      <c r="J100" s="19" t="s">
        <v>34</v>
      </c>
      <c r="K100" s="19" t="s">
        <v>34</v>
      </c>
      <c r="L100" s="16" t="s">
        <v>34</v>
      </c>
      <c r="M100" s="16" t="s">
        <v>34</v>
      </c>
      <c r="N100" s="19" t="s">
        <v>34</v>
      </c>
      <c r="O100" s="19" t="s">
        <v>34</v>
      </c>
      <c r="P100" s="19" t="s">
        <v>34</v>
      </c>
      <c r="Q100" s="19" t="s">
        <v>34</v>
      </c>
      <c r="R100" s="19" t="s">
        <v>34</v>
      </c>
      <c r="S100" s="19" t="s">
        <v>34</v>
      </c>
      <c r="T100" s="19" t="s">
        <v>34</v>
      </c>
      <c r="U100" s="19" t="s">
        <v>34</v>
      </c>
      <c r="V100" s="19" t="s">
        <v>34</v>
      </c>
      <c r="W100" s="19" t="s">
        <v>34</v>
      </c>
      <c r="X100" s="19" t="s">
        <v>34</v>
      </c>
      <c r="Y100" s="19" t="s">
        <v>34</v>
      </c>
      <c r="Z100" s="19">
        <v>-14.538953195635388</v>
      </c>
      <c r="AA100" s="19">
        <v>5.1913068361123631E-2</v>
      </c>
      <c r="AB100" s="19">
        <v>-3.5738788236492764</v>
      </c>
      <c r="AC100" s="19">
        <v>1.9459359359101851E-2</v>
      </c>
      <c r="AD100" s="19">
        <v>14.052077393558823</v>
      </c>
      <c r="AE100" s="18" t="s">
        <v>34</v>
      </c>
      <c r="AF100" s="18" t="s">
        <v>34</v>
      </c>
    </row>
    <row r="101" spans="1:32" x14ac:dyDescent="0.25">
      <c r="A101" s="25" t="s">
        <v>136</v>
      </c>
      <c r="B101" s="9">
        <v>45315</v>
      </c>
      <c r="C101" s="23">
        <v>-32.617800000000003</v>
      </c>
      <c r="D101" s="23">
        <v>18.6221</v>
      </c>
      <c r="E101" s="19">
        <v>83</v>
      </c>
      <c r="F101" s="16" t="s">
        <v>38</v>
      </c>
      <c r="G101" s="18">
        <v>94</v>
      </c>
      <c r="H101" s="19" t="s">
        <v>34</v>
      </c>
      <c r="I101" s="19">
        <v>475.2</v>
      </c>
      <c r="J101" s="19" t="s">
        <v>34</v>
      </c>
      <c r="K101" s="19">
        <v>6.2329999999999997</v>
      </c>
      <c r="L101" s="16" t="s">
        <v>34</v>
      </c>
      <c r="M101" s="16">
        <f>SUM(N101:AD101)</f>
        <v>242.69479197439387</v>
      </c>
      <c r="N101" s="18">
        <v>50.819530819074501</v>
      </c>
      <c r="O101" s="18">
        <v>0.57958104265550803</v>
      </c>
      <c r="P101" s="18">
        <v>10.399392553575201</v>
      </c>
      <c r="Q101" s="18">
        <v>21.4473651178706</v>
      </c>
      <c r="R101" s="18">
        <v>129.24100000000001</v>
      </c>
      <c r="S101" s="18">
        <v>6.8440000000000003</v>
      </c>
      <c r="T101" s="19">
        <v>16.8</v>
      </c>
      <c r="U101" s="18">
        <v>0.1</v>
      </c>
      <c r="V101" s="18">
        <v>11.131</v>
      </c>
      <c r="W101" s="18" t="s">
        <v>34</v>
      </c>
      <c r="X101" s="18">
        <v>0.38200000000000001</v>
      </c>
      <c r="Y101" s="18">
        <v>0.05</v>
      </c>
      <c r="Z101" s="19">
        <v>-13.864688963395905</v>
      </c>
      <c r="AA101" s="19">
        <v>5.9264379408432641E-2</v>
      </c>
      <c r="AB101" s="19">
        <v>-3.2212786497786197</v>
      </c>
      <c r="AC101" s="19">
        <v>2.2085440151073794E-2</v>
      </c>
      <c r="AD101" s="19">
        <v>11.905540234833053</v>
      </c>
      <c r="AE101" s="18" t="s">
        <v>34</v>
      </c>
      <c r="AF101" s="18" t="s">
        <v>34</v>
      </c>
    </row>
    <row r="102" spans="1:32" x14ac:dyDescent="0.25">
      <c r="A102" s="25" t="s">
        <v>137</v>
      </c>
      <c r="B102" s="9">
        <v>45315</v>
      </c>
      <c r="C102" s="23">
        <v>-32.603299999999997</v>
      </c>
      <c r="D102" s="23">
        <v>18.5762</v>
      </c>
      <c r="E102" s="19">
        <v>140</v>
      </c>
      <c r="F102" s="16" t="s">
        <v>38</v>
      </c>
      <c r="G102" s="18">
        <v>55</v>
      </c>
      <c r="H102" s="19" t="s">
        <v>34</v>
      </c>
      <c r="I102" s="19">
        <v>1914</v>
      </c>
      <c r="J102" s="19" t="s">
        <v>34</v>
      </c>
      <c r="K102" s="19">
        <v>6.9539999999999997</v>
      </c>
      <c r="L102" s="16" t="s">
        <v>34</v>
      </c>
      <c r="M102" s="16" t="s">
        <v>34</v>
      </c>
      <c r="N102" s="19" t="s">
        <v>34</v>
      </c>
      <c r="O102" s="19" t="s">
        <v>34</v>
      </c>
      <c r="P102" s="19" t="s">
        <v>34</v>
      </c>
      <c r="Q102" s="19" t="s">
        <v>34</v>
      </c>
      <c r="R102" s="19" t="s">
        <v>34</v>
      </c>
      <c r="S102" s="19" t="s">
        <v>34</v>
      </c>
      <c r="T102" s="19" t="s">
        <v>34</v>
      </c>
      <c r="U102" s="19" t="s">
        <v>34</v>
      </c>
      <c r="V102" s="19" t="s">
        <v>34</v>
      </c>
      <c r="W102" s="19" t="s">
        <v>34</v>
      </c>
      <c r="X102" s="19" t="s">
        <v>34</v>
      </c>
      <c r="Y102" s="19" t="s">
        <v>34</v>
      </c>
      <c r="Z102" s="19">
        <v>-12.522106391617461</v>
      </c>
      <c r="AA102" s="19">
        <v>0.108889699543468</v>
      </c>
      <c r="AB102" s="19">
        <v>-2.7070043773075576</v>
      </c>
      <c r="AC102" s="19">
        <v>1.0925505327748733E-2</v>
      </c>
      <c r="AD102" s="19">
        <v>9.1339286268429998</v>
      </c>
      <c r="AE102" s="18" t="s">
        <v>34</v>
      </c>
      <c r="AF102" s="18" t="s">
        <v>34</v>
      </c>
    </row>
    <row r="103" spans="1:32" x14ac:dyDescent="0.25">
      <c r="A103" s="8" t="s">
        <v>138</v>
      </c>
      <c r="B103" s="9">
        <v>45315</v>
      </c>
      <c r="C103" s="23">
        <v>-32.336799999999997</v>
      </c>
      <c r="D103" s="23">
        <v>18.391400000000001</v>
      </c>
      <c r="E103" s="19">
        <v>116</v>
      </c>
      <c r="F103" s="16" t="s">
        <v>38</v>
      </c>
      <c r="G103" s="18">
        <v>96</v>
      </c>
      <c r="H103" s="19" t="s">
        <v>34</v>
      </c>
      <c r="I103" s="19">
        <v>2797</v>
      </c>
      <c r="J103" s="19" t="s">
        <v>34</v>
      </c>
      <c r="K103" s="19">
        <v>6.2880000000000003</v>
      </c>
      <c r="L103" s="16" t="s">
        <v>34</v>
      </c>
      <c r="M103" s="16" t="s">
        <v>34</v>
      </c>
      <c r="N103" s="19" t="s">
        <v>34</v>
      </c>
      <c r="O103" s="19" t="s">
        <v>34</v>
      </c>
      <c r="P103" s="19" t="s">
        <v>34</v>
      </c>
      <c r="Q103" s="19" t="s">
        <v>34</v>
      </c>
      <c r="R103" s="19" t="s">
        <v>34</v>
      </c>
      <c r="S103" s="19" t="s">
        <v>34</v>
      </c>
      <c r="T103" s="19" t="s">
        <v>34</v>
      </c>
      <c r="U103" s="19" t="s">
        <v>34</v>
      </c>
      <c r="V103" s="19" t="s">
        <v>34</v>
      </c>
      <c r="W103" s="19" t="s">
        <v>34</v>
      </c>
      <c r="X103" s="19" t="s">
        <v>34</v>
      </c>
      <c r="Y103" s="19" t="s">
        <v>34</v>
      </c>
      <c r="Z103" s="19">
        <v>-15.68871896126825</v>
      </c>
      <c r="AA103" s="19">
        <v>4.6231663031591465E-2</v>
      </c>
      <c r="AB103" s="19">
        <v>-3.5171264856790359</v>
      </c>
      <c r="AC103" s="19">
        <v>2.7746471247109418E-2</v>
      </c>
      <c r="AD103" s="19">
        <v>12.448292924164036</v>
      </c>
      <c r="AE103" s="18" t="s">
        <v>34</v>
      </c>
      <c r="AF103" s="18" t="s">
        <v>34</v>
      </c>
    </row>
    <row r="104" spans="1:32" x14ac:dyDescent="0.25">
      <c r="A104" s="8" t="s">
        <v>139</v>
      </c>
      <c r="B104" s="9">
        <v>45316</v>
      </c>
      <c r="C104" s="23">
        <v>-32.3491</v>
      </c>
      <c r="D104" s="23">
        <v>18.448499999999999</v>
      </c>
      <c r="E104" s="19">
        <v>3</v>
      </c>
      <c r="F104" s="16" t="s">
        <v>49</v>
      </c>
      <c r="G104" s="19">
        <v>7</v>
      </c>
      <c r="H104" s="19" t="s">
        <v>34</v>
      </c>
      <c r="I104" s="19">
        <v>744.3</v>
      </c>
      <c r="J104" s="19" t="s">
        <v>34</v>
      </c>
      <c r="K104" s="19">
        <v>4.5940000000000003</v>
      </c>
      <c r="L104" s="16" t="s">
        <v>34</v>
      </c>
      <c r="M104" s="16" t="s">
        <v>34</v>
      </c>
      <c r="N104" s="19" t="s">
        <v>34</v>
      </c>
      <c r="O104" s="19" t="s">
        <v>34</v>
      </c>
      <c r="P104" s="19" t="s">
        <v>34</v>
      </c>
      <c r="Q104" s="19" t="s">
        <v>34</v>
      </c>
      <c r="R104" s="19" t="s">
        <v>34</v>
      </c>
      <c r="S104" s="19" t="s">
        <v>34</v>
      </c>
      <c r="T104" s="19" t="s">
        <v>34</v>
      </c>
      <c r="U104" s="19" t="s">
        <v>34</v>
      </c>
      <c r="V104" s="19" t="s">
        <v>34</v>
      </c>
      <c r="W104" s="19" t="s">
        <v>34</v>
      </c>
      <c r="X104" s="19" t="s">
        <v>34</v>
      </c>
      <c r="Y104" s="19" t="s">
        <v>34</v>
      </c>
      <c r="Z104" s="19">
        <v>-13.833940204001763</v>
      </c>
      <c r="AA104" s="19">
        <v>7.4708544803567117E-2</v>
      </c>
      <c r="AB104" s="19">
        <v>-3.0822003894441434</v>
      </c>
      <c r="AC104" s="19">
        <v>2.47581636368021E-2</v>
      </c>
      <c r="AD104" s="19">
        <v>10.823662911551384</v>
      </c>
      <c r="AE104" s="18" t="s">
        <v>34</v>
      </c>
      <c r="AF104" s="18" t="s">
        <v>34</v>
      </c>
    </row>
    <row r="105" spans="1:32" x14ac:dyDescent="0.25">
      <c r="A105" s="25" t="s">
        <v>140</v>
      </c>
      <c r="B105" s="9">
        <v>45316</v>
      </c>
      <c r="C105" s="23">
        <v>-32.349299999999999</v>
      </c>
      <c r="D105" s="23">
        <v>18.4482</v>
      </c>
      <c r="E105" s="19">
        <v>3</v>
      </c>
      <c r="F105" s="16" t="s">
        <v>49</v>
      </c>
      <c r="G105" s="18">
        <v>14</v>
      </c>
      <c r="H105" s="19" t="s">
        <v>34</v>
      </c>
      <c r="I105" s="19">
        <v>1050</v>
      </c>
      <c r="J105" s="19" t="s">
        <v>34</v>
      </c>
      <c r="K105" s="19">
        <v>5.8609999999999998</v>
      </c>
      <c r="L105" s="16" t="s">
        <v>34</v>
      </c>
      <c r="M105" s="16" t="s">
        <v>34</v>
      </c>
      <c r="N105" s="19" t="s">
        <v>34</v>
      </c>
      <c r="O105" s="19" t="s">
        <v>34</v>
      </c>
      <c r="P105" s="19" t="s">
        <v>34</v>
      </c>
      <c r="Q105" s="19" t="s">
        <v>34</v>
      </c>
      <c r="R105" s="19" t="s">
        <v>34</v>
      </c>
      <c r="S105" s="19" t="s">
        <v>34</v>
      </c>
      <c r="T105" s="19" t="s">
        <v>34</v>
      </c>
      <c r="U105" s="19" t="s">
        <v>34</v>
      </c>
      <c r="V105" s="19" t="s">
        <v>34</v>
      </c>
      <c r="W105" s="19" t="s">
        <v>34</v>
      </c>
      <c r="X105" s="19" t="s">
        <v>34</v>
      </c>
      <c r="Y105" s="19" t="s">
        <v>34</v>
      </c>
      <c r="Z105" s="19" t="s">
        <v>34</v>
      </c>
      <c r="AA105" s="19" t="s">
        <v>34</v>
      </c>
      <c r="AB105" s="19" t="s">
        <v>34</v>
      </c>
      <c r="AC105" s="19" t="s">
        <v>34</v>
      </c>
      <c r="AD105" s="19" t="s">
        <v>34</v>
      </c>
      <c r="AE105" s="18" t="s">
        <v>34</v>
      </c>
      <c r="AF105" s="18" t="s">
        <v>34</v>
      </c>
    </row>
    <row r="106" spans="1:32" x14ac:dyDescent="0.25">
      <c r="A106" s="8" t="s">
        <v>141</v>
      </c>
      <c r="B106" s="9">
        <v>45316</v>
      </c>
      <c r="C106" s="23">
        <v>-32.502414999999999</v>
      </c>
      <c r="D106" s="23">
        <v>18.563566000000002</v>
      </c>
      <c r="E106" s="19" t="s">
        <v>34</v>
      </c>
      <c r="F106" s="16" t="s">
        <v>34</v>
      </c>
      <c r="G106" s="19" t="s">
        <v>34</v>
      </c>
      <c r="H106" s="19" t="s">
        <v>34</v>
      </c>
      <c r="I106" s="19">
        <v>446.4</v>
      </c>
      <c r="J106" s="19" t="s">
        <v>34</v>
      </c>
      <c r="K106" s="19">
        <v>5.6040000000000001</v>
      </c>
      <c r="L106" s="16" t="s">
        <v>34</v>
      </c>
      <c r="M106" s="16" t="s">
        <v>34</v>
      </c>
      <c r="N106" s="19" t="s">
        <v>34</v>
      </c>
      <c r="O106" s="19" t="s">
        <v>34</v>
      </c>
      <c r="P106" s="19" t="s">
        <v>34</v>
      </c>
      <c r="Q106" s="19" t="s">
        <v>34</v>
      </c>
      <c r="R106" s="19" t="s">
        <v>34</v>
      </c>
      <c r="S106" s="19" t="s">
        <v>34</v>
      </c>
      <c r="T106" s="19" t="s">
        <v>34</v>
      </c>
      <c r="U106" s="19" t="s">
        <v>34</v>
      </c>
      <c r="V106" s="19" t="s">
        <v>34</v>
      </c>
      <c r="W106" s="19" t="s">
        <v>34</v>
      </c>
      <c r="X106" s="19" t="s">
        <v>34</v>
      </c>
      <c r="Y106" s="19" t="s">
        <v>34</v>
      </c>
      <c r="Z106" s="19">
        <v>-15.175333597240105</v>
      </c>
      <c r="AA106" s="19">
        <v>0.1230096202199919</v>
      </c>
      <c r="AB106" s="19">
        <v>-3.4004689020735435</v>
      </c>
      <c r="AC106" s="19">
        <v>2.9076909510239831E-2</v>
      </c>
      <c r="AD106" s="19">
        <v>12.028417619348243</v>
      </c>
      <c r="AE106" s="18" t="s">
        <v>34</v>
      </c>
      <c r="AF106" s="18" t="s">
        <v>34</v>
      </c>
    </row>
    <row r="107" spans="1:32" x14ac:dyDescent="0.25">
      <c r="A107" s="8" t="s">
        <v>142</v>
      </c>
      <c r="B107" s="9">
        <v>45316</v>
      </c>
      <c r="C107" s="23">
        <v>-32.502400000000002</v>
      </c>
      <c r="D107" s="23">
        <v>18.563300000000002</v>
      </c>
      <c r="E107" s="19">
        <v>22</v>
      </c>
      <c r="F107" s="16" t="s">
        <v>49</v>
      </c>
      <c r="G107" s="18">
        <v>20</v>
      </c>
      <c r="H107" s="19" t="s">
        <v>34</v>
      </c>
      <c r="I107" s="19">
        <v>582</v>
      </c>
      <c r="J107" s="19" t="s">
        <v>34</v>
      </c>
      <c r="K107" s="19">
        <v>6.0419999999999998</v>
      </c>
      <c r="L107" s="16" t="s">
        <v>34</v>
      </c>
      <c r="M107" s="16">
        <f>SUM(N107:AD107)</f>
        <v>304.06740489440341</v>
      </c>
      <c r="N107" s="18">
        <v>65.8028883797719</v>
      </c>
      <c r="O107" s="18">
        <v>2.75863025327221</v>
      </c>
      <c r="P107" s="18">
        <v>13.614077991380899</v>
      </c>
      <c r="Q107" s="18">
        <v>10.6260225821761</v>
      </c>
      <c r="R107" s="19">
        <v>136.65100000000001</v>
      </c>
      <c r="S107" s="19">
        <v>33.292000000000002</v>
      </c>
      <c r="T107" s="19">
        <v>7.6</v>
      </c>
      <c r="U107" s="19">
        <v>0.1</v>
      </c>
      <c r="V107" s="18">
        <v>39.429000000000002</v>
      </c>
      <c r="W107" s="19" t="s">
        <v>34</v>
      </c>
      <c r="X107" s="19">
        <v>0.41399999999999998</v>
      </c>
      <c r="Y107" s="18">
        <v>0.05</v>
      </c>
      <c r="Z107" s="19">
        <v>-14.394213179039763</v>
      </c>
      <c r="AA107" s="19">
        <v>5.3274446657536105E-2</v>
      </c>
      <c r="AB107" s="19">
        <v>-3.2046383037688271</v>
      </c>
      <c r="AC107" s="19">
        <v>3.2469472842451004E-2</v>
      </c>
      <c r="AD107" s="19">
        <v>11.242893251110853</v>
      </c>
      <c r="AE107" s="18" t="s">
        <v>34</v>
      </c>
      <c r="AF107" s="18" t="s">
        <v>34</v>
      </c>
    </row>
    <row r="108" spans="1:32" x14ac:dyDescent="0.25">
      <c r="A108" s="8" t="s">
        <v>143</v>
      </c>
      <c r="B108" s="9">
        <v>45314</v>
      </c>
      <c r="C108" s="23">
        <v>-32.296399999999998</v>
      </c>
      <c r="D108" s="23">
        <v>18.605599999999999</v>
      </c>
      <c r="E108" s="19">
        <v>46</v>
      </c>
      <c r="F108" s="16" t="s">
        <v>33</v>
      </c>
      <c r="G108" s="18">
        <v>110</v>
      </c>
      <c r="H108" s="19" t="s">
        <v>34</v>
      </c>
      <c r="I108" s="19">
        <v>1369</v>
      </c>
      <c r="J108" s="19" t="s">
        <v>34</v>
      </c>
      <c r="K108" s="19">
        <v>5.242</v>
      </c>
      <c r="L108" s="16" t="s">
        <v>34</v>
      </c>
      <c r="M108" s="16">
        <f>SUM(N108:AD108)</f>
        <v>786.43026121788921</v>
      </c>
      <c r="N108" s="18">
        <v>153.81835813056099</v>
      </c>
      <c r="O108" s="18">
        <v>4.1640820610658196</v>
      </c>
      <c r="P108" s="18">
        <v>36.7345522313217</v>
      </c>
      <c r="Q108" s="18">
        <v>22.7832012051358</v>
      </c>
      <c r="R108" s="18">
        <v>533.81200000000001</v>
      </c>
      <c r="S108" s="18">
        <v>17.084</v>
      </c>
      <c r="T108" s="19">
        <v>6</v>
      </c>
      <c r="U108" s="18">
        <v>0.1</v>
      </c>
      <c r="V108" s="18">
        <v>18.027999999999999</v>
      </c>
      <c r="W108" s="18" t="s">
        <v>34</v>
      </c>
      <c r="X108" s="18">
        <v>1.2529999999999999</v>
      </c>
      <c r="Y108" s="18">
        <v>0.05</v>
      </c>
      <c r="Z108" s="19">
        <v>-17.260303343341185</v>
      </c>
      <c r="AA108" s="19">
        <v>7.7345114045211091E-2</v>
      </c>
      <c r="AB108" s="19">
        <v>-3.8609685827024336</v>
      </c>
      <c r="AC108" s="19">
        <v>1.9549083524980415E-2</v>
      </c>
      <c r="AD108" s="19">
        <v>13.627445318278284</v>
      </c>
      <c r="AE108" s="18" t="s">
        <v>34</v>
      </c>
      <c r="AF108" s="18" t="s">
        <v>34</v>
      </c>
    </row>
    <row r="109" spans="1:32" x14ac:dyDescent="0.25">
      <c r="A109" s="8" t="s">
        <v>144</v>
      </c>
      <c r="B109" s="9">
        <v>45314</v>
      </c>
      <c r="C109" s="23">
        <v>-32.298499999999997</v>
      </c>
      <c r="D109" s="23">
        <v>18.615500000000001</v>
      </c>
      <c r="E109" s="19">
        <v>98</v>
      </c>
      <c r="F109" s="16" t="s">
        <v>33</v>
      </c>
      <c r="G109" s="18">
        <v>113</v>
      </c>
      <c r="H109" s="19" t="s">
        <v>34</v>
      </c>
      <c r="I109" s="19">
        <v>3198</v>
      </c>
      <c r="J109" s="19" t="s">
        <v>34</v>
      </c>
      <c r="K109" s="19">
        <v>5.2130000000000001</v>
      </c>
      <c r="L109" s="16" t="s">
        <v>34</v>
      </c>
      <c r="M109" s="16" t="s">
        <v>34</v>
      </c>
      <c r="N109" s="19" t="s">
        <v>34</v>
      </c>
      <c r="O109" s="19" t="s">
        <v>34</v>
      </c>
      <c r="P109" s="19" t="s">
        <v>34</v>
      </c>
      <c r="Q109" s="19" t="s">
        <v>34</v>
      </c>
      <c r="R109" s="19" t="s">
        <v>34</v>
      </c>
      <c r="S109" s="19" t="s">
        <v>34</v>
      </c>
      <c r="T109" s="19" t="s">
        <v>34</v>
      </c>
      <c r="U109" s="19" t="s">
        <v>34</v>
      </c>
      <c r="V109" s="19" t="s">
        <v>34</v>
      </c>
      <c r="W109" s="19" t="s">
        <v>34</v>
      </c>
      <c r="X109" s="19" t="s">
        <v>34</v>
      </c>
      <c r="Y109" s="19" t="s">
        <v>34</v>
      </c>
      <c r="Z109" s="19">
        <v>-15.148831904060623</v>
      </c>
      <c r="AA109" s="19">
        <v>0.103350697465796</v>
      </c>
      <c r="AB109" s="19">
        <v>-3.3414394641230167</v>
      </c>
      <c r="AC109" s="19">
        <v>3.1405413546075206E-2</v>
      </c>
      <c r="AD109" s="19">
        <v>11.582683808923511</v>
      </c>
      <c r="AE109" s="18" t="s">
        <v>34</v>
      </c>
      <c r="AF109" s="18" t="s">
        <v>34</v>
      </c>
    </row>
    <row r="110" spans="1:32" x14ac:dyDescent="0.25">
      <c r="A110" s="8" t="s">
        <v>145</v>
      </c>
      <c r="B110" s="9">
        <v>45314</v>
      </c>
      <c r="C110" s="23">
        <v>-32.2898</v>
      </c>
      <c r="D110" s="23">
        <v>18.5654</v>
      </c>
      <c r="E110" s="19" t="s">
        <v>34</v>
      </c>
      <c r="F110" s="16" t="s">
        <v>33</v>
      </c>
      <c r="G110" s="18">
        <v>99</v>
      </c>
      <c r="H110" s="19" t="s">
        <v>34</v>
      </c>
      <c r="I110" s="19">
        <v>1287</v>
      </c>
      <c r="J110" s="19" t="s">
        <v>34</v>
      </c>
      <c r="K110" s="19">
        <v>4.8230000000000004</v>
      </c>
      <c r="L110" s="16" t="s">
        <v>34</v>
      </c>
      <c r="M110" s="16" t="s">
        <v>34</v>
      </c>
      <c r="N110" s="19" t="s">
        <v>34</v>
      </c>
      <c r="O110" s="19" t="s">
        <v>34</v>
      </c>
      <c r="P110" s="19" t="s">
        <v>34</v>
      </c>
      <c r="Q110" s="19" t="s">
        <v>34</v>
      </c>
      <c r="R110" s="19" t="s">
        <v>34</v>
      </c>
      <c r="S110" s="19" t="s">
        <v>34</v>
      </c>
      <c r="T110" s="19" t="s">
        <v>34</v>
      </c>
      <c r="U110" s="19" t="s">
        <v>34</v>
      </c>
      <c r="V110" s="19" t="s">
        <v>34</v>
      </c>
      <c r="W110" s="19" t="s">
        <v>34</v>
      </c>
      <c r="X110" s="19" t="s">
        <v>34</v>
      </c>
      <c r="Y110" s="19" t="s">
        <v>34</v>
      </c>
      <c r="Z110" s="19">
        <v>-14.036100555819598</v>
      </c>
      <c r="AA110" s="19">
        <v>0.12106816261924512</v>
      </c>
      <c r="AB110" s="19">
        <v>-3.1498127427049845</v>
      </c>
      <c r="AC110" s="19">
        <v>2.1756991213554077E-2</v>
      </c>
      <c r="AD110" s="19">
        <v>11.162401385820278</v>
      </c>
      <c r="AE110" s="18" t="s">
        <v>34</v>
      </c>
      <c r="AF110" s="18" t="s">
        <v>34</v>
      </c>
    </row>
    <row r="111" spans="1:32" x14ac:dyDescent="0.25">
      <c r="A111" s="8" t="s">
        <v>146</v>
      </c>
      <c r="B111" s="9">
        <v>45316</v>
      </c>
      <c r="C111" s="23">
        <v>-32.212499999999999</v>
      </c>
      <c r="D111" s="23">
        <v>18.489089</v>
      </c>
      <c r="E111" s="19">
        <v>50</v>
      </c>
      <c r="F111" s="16" t="s">
        <v>33</v>
      </c>
      <c r="G111" s="18">
        <v>83</v>
      </c>
      <c r="H111" s="19" t="s">
        <v>34</v>
      </c>
      <c r="I111" s="19">
        <v>1086</v>
      </c>
      <c r="J111" s="19" t="s">
        <v>34</v>
      </c>
      <c r="K111" s="19">
        <v>5.8</v>
      </c>
      <c r="L111" s="16" t="s">
        <v>34</v>
      </c>
      <c r="M111" s="16" t="s">
        <v>34</v>
      </c>
      <c r="N111" s="19" t="s">
        <v>34</v>
      </c>
      <c r="O111" s="19" t="s">
        <v>34</v>
      </c>
      <c r="P111" s="19" t="s">
        <v>34</v>
      </c>
      <c r="Q111" s="19" t="s">
        <v>34</v>
      </c>
      <c r="R111" s="19" t="s">
        <v>34</v>
      </c>
      <c r="S111" s="19" t="s">
        <v>34</v>
      </c>
      <c r="T111" s="19" t="s">
        <v>34</v>
      </c>
      <c r="U111" s="19" t="s">
        <v>34</v>
      </c>
      <c r="V111" s="19" t="s">
        <v>34</v>
      </c>
      <c r="W111" s="19" t="s">
        <v>34</v>
      </c>
      <c r="X111" s="19" t="s">
        <v>34</v>
      </c>
      <c r="Y111" s="19" t="s">
        <v>34</v>
      </c>
      <c r="Z111" s="19">
        <v>-16.93531783659537</v>
      </c>
      <c r="AA111" s="19">
        <v>5.5126823477021379E-2</v>
      </c>
      <c r="AB111" s="19">
        <v>-3.7472887452250081</v>
      </c>
      <c r="AC111" s="19">
        <v>3.6335473943058104E-2</v>
      </c>
      <c r="AD111" s="19">
        <v>13.042992125204695</v>
      </c>
      <c r="AE111" s="18" t="s">
        <v>34</v>
      </c>
      <c r="AF111" s="18" t="s">
        <v>34</v>
      </c>
    </row>
    <row r="112" spans="1:32" x14ac:dyDescent="0.25">
      <c r="A112" s="8" t="s">
        <v>147</v>
      </c>
      <c r="B112" s="9">
        <v>45316</v>
      </c>
      <c r="C112" s="23">
        <v>-32.235900000000001</v>
      </c>
      <c r="D112" s="23">
        <v>18.504239999999999</v>
      </c>
      <c r="E112" s="19">
        <v>180</v>
      </c>
      <c r="F112" s="27" t="s">
        <v>33</v>
      </c>
      <c r="G112" s="14">
        <v>87</v>
      </c>
      <c r="H112" s="19" t="s">
        <v>34</v>
      </c>
      <c r="I112" s="19">
        <v>2216</v>
      </c>
      <c r="J112" s="19" t="s">
        <v>34</v>
      </c>
      <c r="K112" s="19">
        <v>4.7329999999999997</v>
      </c>
      <c r="L112" s="16" t="s">
        <v>34</v>
      </c>
      <c r="M112" s="16" t="s">
        <v>34</v>
      </c>
      <c r="N112" s="19" t="s">
        <v>34</v>
      </c>
      <c r="O112" s="19" t="s">
        <v>34</v>
      </c>
      <c r="P112" s="19" t="s">
        <v>34</v>
      </c>
      <c r="Q112" s="19" t="s">
        <v>34</v>
      </c>
      <c r="R112" s="19" t="s">
        <v>34</v>
      </c>
      <c r="S112" s="19" t="s">
        <v>34</v>
      </c>
      <c r="T112" s="19" t="s">
        <v>34</v>
      </c>
      <c r="U112" s="19" t="s">
        <v>34</v>
      </c>
      <c r="V112" s="19" t="s">
        <v>34</v>
      </c>
      <c r="W112" s="19" t="s">
        <v>34</v>
      </c>
      <c r="X112" s="19" t="s">
        <v>34</v>
      </c>
      <c r="Y112" s="19" t="s">
        <v>34</v>
      </c>
      <c r="Z112" s="19">
        <v>-15.87303593277597</v>
      </c>
      <c r="AA112" s="19">
        <v>5.2723492549969747E-2</v>
      </c>
      <c r="AB112" s="19">
        <v>-3.5681359318312538</v>
      </c>
      <c r="AC112" s="19">
        <v>3.2721043178154691E-2</v>
      </c>
      <c r="AD112" s="19">
        <v>10.619499999999997</v>
      </c>
      <c r="AE112" s="18" t="s">
        <v>34</v>
      </c>
      <c r="AF112" s="18" t="s">
        <v>34</v>
      </c>
    </row>
    <row r="113" spans="1:32" x14ac:dyDescent="0.25">
      <c r="A113" s="25" t="s">
        <v>148</v>
      </c>
      <c r="B113" s="9">
        <v>45313</v>
      </c>
      <c r="C113" s="23">
        <v>-32.593800000000002</v>
      </c>
      <c r="D113" s="23">
        <v>18.747648000000002</v>
      </c>
      <c r="E113" s="30">
        <v>11</v>
      </c>
      <c r="F113" s="16" t="s">
        <v>49</v>
      </c>
      <c r="G113" s="30">
        <v>11</v>
      </c>
      <c r="H113" s="19" t="s">
        <v>34</v>
      </c>
      <c r="I113" s="19">
        <v>2041</v>
      </c>
      <c r="J113" s="19" t="s">
        <v>34</v>
      </c>
      <c r="K113" s="19">
        <v>6.7229999999999999</v>
      </c>
      <c r="L113" s="16" t="s">
        <v>34</v>
      </c>
      <c r="M113" s="16" t="s">
        <v>34</v>
      </c>
      <c r="N113" s="19" t="s">
        <v>34</v>
      </c>
      <c r="O113" s="19" t="s">
        <v>34</v>
      </c>
      <c r="P113" s="19" t="s">
        <v>34</v>
      </c>
      <c r="Q113" s="19" t="s">
        <v>34</v>
      </c>
      <c r="R113" s="19" t="s">
        <v>34</v>
      </c>
      <c r="S113" s="19" t="s">
        <v>34</v>
      </c>
      <c r="T113" s="19" t="s">
        <v>34</v>
      </c>
      <c r="U113" s="19" t="s">
        <v>34</v>
      </c>
      <c r="V113" s="19" t="s">
        <v>34</v>
      </c>
      <c r="W113" s="19" t="s">
        <v>34</v>
      </c>
      <c r="X113" s="19" t="s">
        <v>34</v>
      </c>
      <c r="Y113" s="19" t="s">
        <v>34</v>
      </c>
      <c r="Z113" s="19">
        <v>-17.976876411222133</v>
      </c>
      <c r="AA113" s="19">
        <v>6.0214339377482641E-2</v>
      </c>
      <c r="AB113" s="19">
        <v>-3.9544654509842196</v>
      </c>
      <c r="AC113" s="19">
        <v>4.0153040565649244E-2</v>
      </c>
      <c r="AD113" s="19">
        <v>11.505499999999994</v>
      </c>
      <c r="AE113" s="18" t="s">
        <v>34</v>
      </c>
      <c r="AF113" s="18" t="s">
        <v>34</v>
      </c>
    </row>
    <row r="114" spans="1:32" x14ac:dyDescent="0.25">
      <c r="A114" s="25" t="s">
        <v>149</v>
      </c>
      <c r="B114" s="9">
        <v>45314</v>
      </c>
      <c r="C114" s="23">
        <v>-32.430500000000002</v>
      </c>
      <c r="D114" s="23">
        <v>18.804576000000001</v>
      </c>
      <c r="E114" s="19">
        <v>152</v>
      </c>
      <c r="F114" s="16" t="s">
        <v>33</v>
      </c>
      <c r="G114" s="19">
        <v>152</v>
      </c>
      <c r="H114" s="19" t="s">
        <v>34</v>
      </c>
      <c r="I114" s="19">
        <v>321</v>
      </c>
      <c r="J114" s="19" t="s">
        <v>34</v>
      </c>
      <c r="K114" s="19">
        <v>4.851</v>
      </c>
      <c r="L114" s="16" t="s">
        <v>34</v>
      </c>
      <c r="M114" s="16">
        <f>SUM(N114:AD114)</f>
        <v>144.19384343622443</v>
      </c>
      <c r="N114" s="18">
        <v>37.967372743955799</v>
      </c>
      <c r="O114" s="18">
        <v>0.94662143386264297</v>
      </c>
      <c r="P114" s="18">
        <v>5.6515609161999301</v>
      </c>
      <c r="Q114" s="18">
        <v>6.3585300664832696</v>
      </c>
      <c r="R114" s="18">
        <v>85.555000000000007</v>
      </c>
      <c r="S114" s="18">
        <v>5.024</v>
      </c>
      <c r="T114" s="19">
        <v>5</v>
      </c>
      <c r="U114" s="18">
        <v>0.14699999999999999</v>
      </c>
      <c r="V114" s="18">
        <v>7.4080000000000004</v>
      </c>
      <c r="W114" s="18" t="s">
        <v>34</v>
      </c>
      <c r="X114" s="18">
        <v>0.25700000000000001</v>
      </c>
      <c r="Y114" s="18">
        <v>5.8000000000000003E-2</v>
      </c>
      <c r="Z114" s="19">
        <v>-18.937657384801003</v>
      </c>
      <c r="AA114" s="19">
        <v>8.5380716011677432E-2</v>
      </c>
      <c r="AB114" s="19">
        <v>-4.261225746680207</v>
      </c>
      <c r="AC114" s="19">
        <v>2.8260691192302172E-2</v>
      </c>
      <c r="AD114" s="19">
        <v>12.906000000000002</v>
      </c>
      <c r="AE114" s="18" t="s">
        <v>34</v>
      </c>
      <c r="AF114" s="18" t="s">
        <v>34</v>
      </c>
    </row>
    <row r="115" spans="1:32" x14ac:dyDescent="0.25">
      <c r="A115" s="36" t="s">
        <v>150</v>
      </c>
      <c r="B115" s="9">
        <v>45314</v>
      </c>
      <c r="C115" s="23">
        <v>-32.4435</v>
      </c>
      <c r="D115" s="23">
        <v>18.814798</v>
      </c>
      <c r="E115" s="19">
        <v>118</v>
      </c>
      <c r="F115" s="16" t="s">
        <v>33</v>
      </c>
      <c r="G115" s="26">
        <v>340</v>
      </c>
      <c r="H115" s="19" t="s">
        <v>34</v>
      </c>
      <c r="I115" s="19">
        <v>325.7</v>
      </c>
      <c r="J115" s="19" t="s">
        <v>34</v>
      </c>
      <c r="K115" s="19">
        <v>5.1319999999999997</v>
      </c>
      <c r="L115" s="16" t="s">
        <v>34</v>
      </c>
      <c r="M115" s="16" t="s">
        <v>34</v>
      </c>
      <c r="N115" s="19" t="s">
        <v>34</v>
      </c>
      <c r="O115" s="19" t="s">
        <v>34</v>
      </c>
      <c r="P115" s="19" t="s">
        <v>34</v>
      </c>
      <c r="Q115" s="19" t="s">
        <v>34</v>
      </c>
      <c r="R115" s="19" t="s">
        <v>34</v>
      </c>
      <c r="S115" s="19" t="s">
        <v>34</v>
      </c>
      <c r="T115" s="19" t="s">
        <v>34</v>
      </c>
      <c r="U115" s="19" t="s">
        <v>34</v>
      </c>
      <c r="V115" s="19" t="s">
        <v>34</v>
      </c>
      <c r="W115" s="19" t="s">
        <v>34</v>
      </c>
      <c r="X115" s="19" t="s">
        <v>34</v>
      </c>
      <c r="Y115" s="19" t="s">
        <v>34</v>
      </c>
      <c r="Z115" s="19" t="s">
        <v>34</v>
      </c>
      <c r="AA115" s="19" t="s">
        <v>34</v>
      </c>
      <c r="AB115" s="19" t="s">
        <v>34</v>
      </c>
      <c r="AC115" s="19" t="s">
        <v>34</v>
      </c>
      <c r="AD115" s="19" t="s">
        <v>34</v>
      </c>
      <c r="AE115" s="18" t="s">
        <v>34</v>
      </c>
      <c r="AF115" s="18" t="s">
        <v>34</v>
      </c>
    </row>
    <row r="116" spans="1:32" x14ac:dyDescent="0.25">
      <c r="A116" s="25" t="s">
        <v>151</v>
      </c>
      <c r="B116" s="9">
        <v>45314</v>
      </c>
      <c r="C116" s="23">
        <v>-32.441099999999999</v>
      </c>
      <c r="D116" s="23">
        <v>18.784934</v>
      </c>
      <c r="E116" s="19">
        <v>80</v>
      </c>
      <c r="F116" s="16" t="s">
        <v>33</v>
      </c>
      <c r="G116" s="26">
        <v>229</v>
      </c>
      <c r="H116" s="19" t="s">
        <v>34</v>
      </c>
      <c r="I116" s="19">
        <v>412.9</v>
      </c>
      <c r="J116" s="19" t="s">
        <v>34</v>
      </c>
      <c r="K116" s="19">
        <v>4.8929999999999998</v>
      </c>
      <c r="L116" s="16" t="s">
        <v>34</v>
      </c>
      <c r="M116" s="16" t="s">
        <v>34</v>
      </c>
      <c r="N116" s="19" t="s">
        <v>34</v>
      </c>
      <c r="O116" s="19" t="s">
        <v>34</v>
      </c>
      <c r="P116" s="19" t="s">
        <v>34</v>
      </c>
      <c r="Q116" s="19" t="s">
        <v>34</v>
      </c>
      <c r="R116" s="19" t="s">
        <v>34</v>
      </c>
      <c r="S116" s="19" t="s">
        <v>34</v>
      </c>
      <c r="T116" s="19" t="s">
        <v>34</v>
      </c>
      <c r="U116" s="19" t="s">
        <v>34</v>
      </c>
      <c r="V116" s="19" t="s">
        <v>34</v>
      </c>
      <c r="W116" s="19" t="s">
        <v>34</v>
      </c>
      <c r="X116" s="19" t="s">
        <v>34</v>
      </c>
      <c r="Y116" s="19" t="s">
        <v>34</v>
      </c>
      <c r="Z116" s="19" t="s">
        <v>34</v>
      </c>
      <c r="AA116" s="19" t="s">
        <v>34</v>
      </c>
      <c r="AB116" s="19" t="s">
        <v>34</v>
      </c>
      <c r="AC116" s="19" t="s">
        <v>34</v>
      </c>
      <c r="AD116" s="19" t="s">
        <v>34</v>
      </c>
      <c r="AE116" s="18" t="s">
        <v>34</v>
      </c>
      <c r="AF116" s="18" t="s">
        <v>34</v>
      </c>
    </row>
    <row r="117" spans="1:32" x14ac:dyDescent="0.25">
      <c r="A117" s="25" t="s">
        <v>152</v>
      </c>
      <c r="B117" s="9">
        <v>45314</v>
      </c>
      <c r="C117" s="23">
        <v>-32.466799999999999</v>
      </c>
      <c r="D117" s="23">
        <v>18.798627</v>
      </c>
      <c r="E117" s="19">
        <v>170</v>
      </c>
      <c r="F117" s="16" t="s">
        <v>33</v>
      </c>
      <c r="G117" s="19">
        <v>170</v>
      </c>
      <c r="H117" s="19" t="s">
        <v>34</v>
      </c>
      <c r="I117" s="19">
        <v>940.3</v>
      </c>
      <c r="J117" s="19" t="s">
        <v>34</v>
      </c>
      <c r="K117" s="19">
        <v>4.4749999999999996</v>
      </c>
      <c r="L117" s="16" t="s">
        <v>34</v>
      </c>
      <c r="M117" s="16" t="s">
        <v>34</v>
      </c>
      <c r="N117" s="19" t="s">
        <v>34</v>
      </c>
      <c r="O117" s="19" t="s">
        <v>34</v>
      </c>
      <c r="P117" s="19" t="s">
        <v>34</v>
      </c>
      <c r="Q117" s="19" t="s">
        <v>34</v>
      </c>
      <c r="R117" s="19" t="s">
        <v>34</v>
      </c>
      <c r="S117" s="19" t="s">
        <v>34</v>
      </c>
      <c r="T117" s="19" t="s">
        <v>34</v>
      </c>
      <c r="U117" s="19" t="s">
        <v>34</v>
      </c>
      <c r="V117" s="19" t="s">
        <v>34</v>
      </c>
      <c r="W117" s="19" t="s">
        <v>34</v>
      </c>
      <c r="X117" s="19" t="s">
        <v>34</v>
      </c>
      <c r="Y117" s="19" t="s">
        <v>34</v>
      </c>
      <c r="Z117" s="19">
        <v>-16.056163060578761</v>
      </c>
      <c r="AA117" s="19">
        <v>7.2137831036610936E-2</v>
      </c>
      <c r="AB117" s="19">
        <v>-3.6541614299985583</v>
      </c>
      <c r="AC117" s="19">
        <v>2.0380546279888275E-2</v>
      </c>
      <c r="AD117" s="19">
        <v>11.096999999999998</v>
      </c>
      <c r="AE117" s="18" t="s">
        <v>34</v>
      </c>
      <c r="AF117" s="18" t="s">
        <v>34</v>
      </c>
    </row>
    <row r="118" spans="1:32" x14ac:dyDescent="0.25">
      <c r="A118" s="25" t="s">
        <v>153</v>
      </c>
      <c r="B118" s="9">
        <v>45314</v>
      </c>
      <c r="C118" s="23">
        <v>-32.465200000000003</v>
      </c>
      <c r="D118" s="23">
        <v>18.745200000000001</v>
      </c>
      <c r="E118" s="19">
        <v>138</v>
      </c>
      <c r="F118" s="16" t="s">
        <v>33</v>
      </c>
      <c r="G118" s="19">
        <v>138</v>
      </c>
      <c r="H118" s="19" t="s">
        <v>34</v>
      </c>
      <c r="I118" s="19">
        <v>624.1</v>
      </c>
      <c r="J118" s="19" t="s">
        <v>34</v>
      </c>
      <c r="K118" s="19">
        <v>4.665</v>
      </c>
      <c r="L118" s="16" t="s">
        <v>34</v>
      </c>
      <c r="M118" s="16" t="s">
        <v>34</v>
      </c>
      <c r="N118" s="19" t="s">
        <v>34</v>
      </c>
      <c r="O118" s="19" t="s">
        <v>34</v>
      </c>
      <c r="P118" s="19" t="s">
        <v>34</v>
      </c>
      <c r="Q118" s="19" t="s">
        <v>34</v>
      </c>
      <c r="R118" s="19" t="s">
        <v>34</v>
      </c>
      <c r="S118" s="19" t="s">
        <v>34</v>
      </c>
      <c r="T118" s="19" t="s">
        <v>34</v>
      </c>
      <c r="U118" s="19" t="s">
        <v>34</v>
      </c>
      <c r="V118" s="19" t="s">
        <v>34</v>
      </c>
      <c r="W118" s="19" t="s">
        <v>34</v>
      </c>
      <c r="X118" s="19" t="s">
        <v>34</v>
      </c>
      <c r="Y118" s="19" t="s">
        <v>34</v>
      </c>
      <c r="Z118" s="19">
        <v>-16.72231132436556</v>
      </c>
      <c r="AA118" s="19">
        <v>0.12264814171713578</v>
      </c>
      <c r="AB118" s="19">
        <v>-3.8132998769125175</v>
      </c>
      <c r="AC118" s="19">
        <v>4.2948418674808836E-2</v>
      </c>
      <c r="AD118" s="19">
        <v>11.658833333333334</v>
      </c>
      <c r="AE118" s="18" t="s">
        <v>34</v>
      </c>
      <c r="AF118" s="18" t="s">
        <v>34</v>
      </c>
    </row>
    <row r="119" spans="1:32" x14ac:dyDescent="0.25">
      <c r="A119" s="36" t="s">
        <v>154</v>
      </c>
      <c r="B119" s="9">
        <v>45314</v>
      </c>
      <c r="C119" s="23">
        <v>-32.464500000000001</v>
      </c>
      <c r="D119" s="23">
        <v>18.7258</v>
      </c>
      <c r="E119" s="19">
        <v>54</v>
      </c>
      <c r="F119" s="16" t="s">
        <v>33</v>
      </c>
      <c r="G119" s="14">
        <v>136</v>
      </c>
      <c r="H119" s="19" t="s">
        <v>34</v>
      </c>
      <c r="I119" s="19">
        <v>758.9</v>
      </c>
      <c r="J119" s="19" t="s">
        <v>34</v>
      </c>
      <c r="K119" s="19">
        <v>4.5</v>
      </c>
      <c r="L119" s="16" t="s">
        <v>34</v>
      </c>
      <c r="M119" s="16" t="s">
        <v>34</v>
      </c>
      <c r="N119" s="19" t="s">
        <v>34</v>
      </c>
      <c r="O119" s="19" t="s">
        <v>34</v>
      </c>
      <c r="P119" s="19" t="s">
        <v>34</v>
      </c>
      <c r="Q119" s="19" t="s">
        <v>34</v>
      </c>
      <c r="R119" s="19" t="s">
        <v>34</v>
      </c>
      <c r="S119" s="19" t="s">
        <v>34</v>
      </c>
      <c r="T119" s="19" t="s">
        <v>34</v>
      </c>
      <c r="U119" s="19" t="s">
        <v>34</v>
      </c>
      <c r="V119" s="19" t="s">
        <v>34</v>
      </c>
      <c r="W119" s="19" t="s">
        <v>34</v>
      </c>
      <c r="X119" s="19" t="s">
        <v>34</v>
      </c>
      <c r="Y119" s="19" t="s">
        <v>34</v>
      </c>
      <c r="Z119" s="19" t="s">
        <v>34</v>
      </c>
      <c r="AA119" s="19" t="s">
        <v>34</v>
      </c>
      <c r="AB119" s="19" t="s">
        <v>34</v>
      </c>
      <c r="AC119" s="19" t="s">
        <v>34</v>
      </c>
      <c r="AD119" s="19" t="s">
        <v>34</v>
      </c>
      <c r="AE119" s="18" t="s">
        <v>34</v>
      </c>
      <c r="AF119" s="18" t="s">
        <v>34</v>
      </c>
    </row>
    <row r="120" spans="1:32" x14ac:dyDescent="0.25">
      <c r="A120" s="25" t="s">
        <v>155</v>
      </c>
      <c r="B120" s="9">
        <v>45314</v>
      </c>
      <c r="C120" s="23">
        <v>-32.464212000000003</v>
      </c>
      <c r="D120" s="23">
        <v>18.732264000000001</v>
      </c>
      <c r="E120" s="19" t="s">
        <v>34</v>
      </c>
      <c r="F120" s="16" t="s">
        <v>33</v>
      </c>
      <c r="G120" s="19">
        <v>133</v>
      </c>
      <c r="H120" s="19" t="s">
        <v>34</v>
      </c>
      <c r="I120" s="19">
        <v>757.1</v>
      </c>
      <c r="J120" s="19" t="s">
        <v>34</v>
      </c>
      <c r="K120" s="19">
        <v>4.8140000000000001</v>
      </c>
      <c r="L120" s="16" t="s">
        <v>34</v>
      </c>
      <c r="M120" s="16">
        <f>SUM(N120:AD120)</f>
        <v>388.9868988507933</v>
      </c>
      <c r="N120" s="18">
        <v>91.604893277545301</v>
      </c>
      <c r="O120" s="18">
        <v>2.0351830313791401</v>
      </c>
      <c r="P120" s="18">
        <v>19.078796163716099</v>
      </c>
      <c r="Q120" s="18">
        <v>12.773864970979799</v>
      </c>
      <c r="R120" s="18">
        <v>224.04400000000001</v>
      </c>
      <c r="S120" s="18">
        <v>16.478999999999999</v>
      </c>
      <c r="T120" s="19">
        <v>5</v>
      </c>
      <c r="U120" s="18">
        <v>0.1</v>
      </c>
      <c r="V120" s="18">
        <v>26.535</v>
      </c>
      <c r="W120" s="18" t="s">
        <v>34</v>
      </c>
      <c r="X120" s="18">
        <v>0.621</v>
      </c>
      <c r="Y120" s="18">
        <v>7.1999999999999995E-2</v>
      </c>
      <c r="Z120" s="19">
        <v>-17.126922142421034</v>
      </c>
      <c r="AA120" s="19">
        <v>3.4452382597821449E-2</v>
      </c>
      <c r="AB120" s="19">
        <v>-3.8530844886410072</v>
      </c>
      <c r="AC120" s="19">
        <v>2.3215655637234694E-2</v>
      </c>
      <c r="AD120" s="19">
        <v>11.5655</v>
      </c>
      <c r="AE120" s="18" t="s">
        <v>34</v>
      </c>
      <c r="AF120" s="18" t="s">
        <v>34</v>
      </c>
    </row>
    <row r="121" spans="1:32" x14ac:dyDescent="0.25">
      <c r="A121" s="8" t="s">
        <v>156</v>
      </c>
      <c r="B121" s="9">
        <v>45313</v>
      </c>
      <c r="C121" s="23">
        <v>-32.704644000000002</v>
      </c>
      <c r="D121" s="23">
        <v>18.795452000000001</v>
      </c>
      <c r="E121" s="19">
        <v>80</v>
      </c>
      <c r="F121" s="16" t="s">
        <v>33</v>
      </c>
      <c r="G121" s="14">
        <v>193</v>
      </c>
      <c r="H121" s="19" t="s">
        <v>34</v>
      </c>
      <c r="I121" s="19">
        <v>941.2</v>
      </c>
      <c r="J121" s="19" t="s">
        <v>34</v>
      </c>
      <c r="K121" s="19">
        <v>7.593</v>
      </c>
      <c r="L121" s="16" t="s">
        <v>34</v>
      </c>
      <c r="M121" s="16">
        <f>SUM(N121:AD121)</f>
        <v>503.03259412641165</v>
      </c>
      <c r="N121" s="18">
        <v>99.579920313135901</v>
      </c>
      <c r="O121" s="18">
        <v>2.17780062365195</v>
      </c>
      <c r="P121" s="18">
        <v>15.5593670177263</v>
      </c>
      <c r="Q121" s="18">
        <v>35.595588836481703</v>
      </c>
      <c r="R121" s="18">
        <v>286.13799999999998</v>
      </c>
      <c r="S121" s="18">
        <v>25.809000000000001</v>
      </c>
      <c r="T121" s="19">
        <v>27.1</v>
      </c>
      <c r="U121" s="18">
        <v>0.1</v>
      </c>
      <c r="V121" s="18">
        <v>16.864000000000001</v>
      </c>
      <c r="W121" s="18" t="s">
        <v>34</v>
      </c>
      <c r="X121" s="18">
        <v>0.79500000000000004</v>
      </c>
      <c r="Y121" s="18">
        <v>0.05</v>
      </c>
      <c r="Z121" s="19">
        <v>-14.203337431085636</v>
      </c>
      <c r="AA121" s="19">
        <v>4.8176411932258342E-2</v>
      </c>
      <c r="AB121" s="19">
        <v>-3.373749714877142</v>
      </c>
      <c r="AC121" s="19">
        <v>1.899473611293391E-2</v>
      </c>
      <c r="AD121" s="19">
        <v>10.773833333333334</v>
      </c>
      <c r="AE121" s="18" t="s">
        <v>34</v>
      </c>
      <c r="AF121" s="18" t="s">
        <v>34</v>
      </c>
    </row>
    <row r="122" spans="1:32" x14ac:dyDescent="0.25">
      <c r="A122" s="8" t="s">
        <v>157</v>
      </c>
      <c r="B122" s="9">
        <v>45313</v>
      </c>
      <c r="C122" s="23">
        <v>-32.609400000000001</v>
      </c>
      <c r="D122" s="23">
        <v>18.7761</v>
      </c>
      <c r="E122" s="19">
        <v>218</v>
      </c>
      <c r="F122" s="16" t="s">
        <v>38</v>
      </c>
      <c r="G122" s="14">
        <v>72</v>
      </c>
      <c r="H122" s="19" t="s">
        <v>34</v>
      </c>
      <c r="I122" s="19">
        <v>238.8</v>
      </c>
      <c r="J122" s="19" t="s">
        <v>34</v>
      </c>
      <c r="K122" s="19">
        <v>7.774</v>
      </c>
      <c r="L122" s="16" t="s">
        <v>34</v>
      </c>
      <c r="M122" s="16" t="s">
        <v>34</v>
      </c>
      <c r="N122" s="19" t="s">
        <v>34</v>
      </c>
      <c r="O122" s="19" t="s">
        <v>34</v>
      </c>
      <c r="P122" s="19" t="s">
        <v>34</v>
      </c>
      <c r="Q122" s="19" t="s">
        <v>34</v>
      </c>
      <c r="R122" s="19" t="s">
        <v>34</v>
      </c>
      <c r="S122" s="19" t="s">
        <v>34</v>
      </c>
      <c r="T122" s="19" t="s">
        <v>34</v>
      </c>
      <c r="U122" s="19" t="s">
        <v>34</v>
      </c>
      <c r="V122" s="19" t="s">
        <v>34</v>
      </c>
      <c r="W122" s="19" t="s">
        <v>34</v>
      </c>
      <c r="X122" s="19" t="s">
        <v>34</v>
      </c>
      <c r="Y122" s="19" t="s">
        <v>34</v>
      </c>
      <c r="Z122" s="19">
        <v>-16.61369097052517</v>
      </c>
      <c r="AA122" s="19">
        <v>8.9805159465738554E-2</v>
      </c>
      <c r="AB122" s="19">
        <v>-3.9035132289459789</v>
      </c>
      <c r="AC122" s="19">
        <v>1.9758542456365498E-2</v>
      </c>
      <c r="AD122" s="19">
        <v>12.45483333333333</v>
      </c>
      <c r="AE122" s="18" t="s">
        <v>34</v>
      </c>
      <c r="AF122" s="18" t="s">
        <v>34</v>
      </c>
    </row>
  </sheetData>
  <conditionalFormatting sqref="AA46">
    <cfRule type="cellIs" dxfId="26" priority="3" operator="greaterThan">
      <formula>2</formula>
    </cfRule>
    <cfRule type="cellIs" dxfId="25" priority="4" operator="greaterThan">
      <formula>2</formula>
    </cfRule>
  </conditionalFormatting>
  <conditionalFormatting sqref="AA53">
    <cfRule type="cellIs" dxfId="24" priority="7" operator="greaterThan">
      <formula>2</formula>
    </cfRule>
    <cfRule type="cellIs" dxfId="23" priority="8" operator="greaterThan">
      <formula>2</formula>
    </cfRule>
  </conditionalFormatting>
  <conditionalFormatting sqref="AA67:AA82">
    <cfRule type="cellIs" dxfId="22" priority="11" operator="greaterThan">
      <formula>2</formula>
    </cfRule>
  </conditionalFormatting>
  <conditionalFormatting sqref="AA80">
    <cfRule type="cellIs" dxfId="21" priority="10" operator="greaterThan">
      <formula>2</formula>
    </cfRule>
  </conditionalFormatting>
  <conditionalFormatting sqref="AA84 AA87:AA88">
    <cfRule type="cellIs" dxfId="20" priority="26" operator="greaterThan">
      <formula>2</formula>
    </cfRule>
  </conditionalFormatting>
  <conditionalFormatting sqref="AA90:AA92">
    <cfRule type="cellIs" dxfId="19" priority="24" operator="greaterThan">
      <formula>2</formula>
    </cfRule>
  </conditionalFormatting>
  <conditionalFormatting sqref="AA94:AA104">
    <cfRule type="cellIs" dxfId="18" priority="21" operator="greaterThan">
      <formula>2</formula>
    </cfRule>
  </conditionalFormatting>
  <conditionalFormatting sqref="AA106:AA114 AA117:AA118">
    <cfRule type="cellIs" dxfId="17" priority="20" operator="greaterThan">
      <formula>2</formula>
    </cfRule>
  </conditionalFormatting>
  <conditionalFormatting sqref="AA112:AA114 AA117:AA118">
    <cfRule type="cellIs" dxfId="16" priority="19" operator="greaterThan">
      <formula>2</formula>
    </cfRule>
  </conditionalFormatting>
  <conditionalFormatting sqref="AA120:AA122">
    <cfRule type="cellIs" dxfId="15" priority="15" operator="greaterThan">
      <formula>2</formula>
    </cfRule>
    <cfRule type="cellIs" dxfId="14" priority="16" operator="greaterThan">
      <formula>2</formula>
    </cfRule>
  </conditionalFormatting>
  <conditionalFormatting sqref="AC46">
    <cfRule type="cellIs" dxfId="13" priority="1" operator="greaterThan">
      <formula>0.2</formula>
    </cfRule>
    <cfRule type="cellIs" dxfId="12" priority="2" operator="greaterThan">
      <formula>0.2</formula>
    </cfRule>
  </conditionalFormatting>
  <conditionalFormatting sqref="AC53">
    <cfRule type="cellIs" dxfId="11" priority="5" operator="greaterThan">
      <formula>0.2</formula>
    </cfRule>
    <cfRule type="cellIs" dxfId="10" priority="6" operator="greaterThan">
      <formula>0.2</formula>
    </cfRule>
  </conditionalFormatting>
  <conditionalFormatting sqref="AC67:AC82">
    <cfRule type="cellIs" dxfId="9" priority="12" operator="greaterThan">
      <formula>0.2</formula>
    </cfRule>
  </conditionalFormatting>
  <conditionalFormatting sqref="AC80">
    <cfRule type="cellIs" dxfId="8" priority="9" operator="greaterThan">
      <formula>0.2</formula>
    </cfRule>
  </conditionalFormatting>
  <conditionalFormatting sqref="AC84 AC87:AC88">
    <cfRule type="cellIs" dxfId="7" priority="25" operator="greaterThan">
      <formula>0.2</formula>
    </cfRule>
  </conditionalFormatting>
  <conditionalFormatting sqref="AC90:AC92">
    <cfRule type="cellIs" dxfId="6" priority="23" operator="greaterThan">
      <formula>0.2</formula>
    </cfRule>
  </conditionalFormatting>
  <conditionalFormatting sqref="AC94:AC104">
    <cfRule type="cellIs" dxfId="5" priority="22" operator="greaterThan">
      <formula>0.2</formula>
    </cfRule>
  </conditionalFormatting>
  <conditionalFormatting sqref="AC106:AC114">
    <cfRule type="cellIs" dxfId="4" priority="18" operator="greaterThan">
      <formula>0.2</formula>
    </cfRule>
  </conditionalFormatting>
  <conditionalFormatting sqref="AC112:AC114 AC117:AC118">
    <cfRule type="cellIs" dxfId="3" priority="17" operator="greaterThan">
      <formula>0.2</formula>
    </cfRule>
  </conditionalFormatting>
  <conditionalFormatting sqref="AC120:AC122">
    <cfRule type="cellIs" dxfId="2" priority="13" operator="greaterThan">
      <formula>0.2</formula>
    </cfRule>
    <cfRule type="cellIs" dxfId="1" priority="14" operator="greaterThan">
      <formula>0.2</formula>
    </cfRule>
  </conditionalFormatting>
  <conditionalFormatting sqref="AC117:AC118">
    <cfRule type="cellIs" dxfId="0" priority="27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Verlorenvlei_Groundwater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Mashazi, MB, Mr [21848637@sun.ac.za]</dc:creator>
  <cp:lastModifiedBy>Mashazi, MB, Mr [21848637@sun.ac.za]</cp:lastModifiedBy>
  <dcterms:created xsi:type="dcterms:W3CDTF">2026-04-27T16:49:14Z</dcterms:created>
  <dcterms:modified xsi:type="dcterms:W3CDTF">2026-04-27T16:51:12Z</dcterms:modified>
</cp:coreProperties>
</file>