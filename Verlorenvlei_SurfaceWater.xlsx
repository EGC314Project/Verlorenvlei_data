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848637\Desktop\EGC_Project\"/>
    </mc:Choice>
  </mc:AlternateContent>
  <xr:revisionPtr revIDLastSave="0" documentId="8_{5FEDA009-30D6-4567-9446-8212252D2A7D}" xr6:coauthVersionLast="47" xr6:coauthVersionMax="47" xr10:uidLastSave="{00000000-0000-0000-0000-000000000000}"/>
  <bookViews>
    <workbookView xWindow="-120" yWindow="-120" windowWidth="29040" windowHeight="15720" xr2:uid="{88820963-7C4E-4DDC-9C34-ED99C2A4C34D}"/>
  </bookViews>
  <sheets>
    <sheet name="Verlorenvlei_Surface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1" l="1"/>
  <c r="J35" i="1"/>
  <c r="J34" i="1"/>
  <c r="J32" i="1"/>
  <c r="J31" i="1"/>
  <c r="J29" i="1"/>
  <c r="J27" i="1"/>
  <c r="J26" i="1"/>
  <c r="J24" i="1"/>
  <c r="J22" i="1"/>
  <c r="J21" i="1"/>
  <c r="J20" i="1"/>
  <c r="J18" i="1"/>
  <c r="J17" i="1"/>
  <c r="AA16" i="1"/>
  <c r="J16" i="1"/>
  <c r="AA15" i="1"/>
  <c r="J15" i="1"/>
  <c r="AA14" i="1"/>
  <c r="J14" i="1"/>
  <c r="AA13" i="1"/>
  <c r="J13" i="1" s="1"/>
  <c r="AA12" i="1"/>
  <c r="J12" i="1"/>
  <c r="AA11" i="1"/>
  <c r="J11" i="1"/>
  <c r="AA10" i="1"/>
  <c r="J10" i="1"/>
  <c r="AA9" i="1"/>
  <c r="J9" i="1"/>
  <c r="AA8" i="1"/>
  <c r="J8" i="1"/>
  <c r="AA7" i="1"/>
  <c r="J7" i="1"/>
  <c r="AA6" i="1"/>
  <c r="J6" i="1"/>
  <c r="AA5" i="1"/>
  <c r="J5" i="1"/>
  <c r="AA4" i="1"/>
  <c r="J4" i="1"/>
  <c r="AA3" i="1"/>
  <c r="J3" i="1"/>
  <c r="AA2" i="1"/>
  <c r="J2" i="1"/>
</calcChain>
</file>

<file path=xl/sharedStrings.xml><?xml version="1.0" encoding="utf-8"?>
<sst xmlns="http://schemas.openxmlformats.org/spreadsheetml/2006/main" count="270" uniqueCount="64">
  <si>
    <t>Borehole ID</t>
  </si>
  <si>
    <t>Date</t>
  </si>
  <si>
    <t xml:space="preserve">Latitude </t>
  </si>
  <si>
    <t xml:space="preserve">Longitude </t>
  </si>
  <si>
    <t>Field EC (µs/cm)</t>
  </si>
  <si>
    <t>Lab EC (µs/cm)</t>
  </si>
  <si>
    <t>Field pH</t>
  </si>
  <si>
    <t>Lab pH</t>
  </si>
  <si>
    <t>Field TDS (µs/cm)</t>
  </si>
  <si>
    <t>Lab TDS (µs/cm)</t>
  </si>
  <si>
    <r>
      <t>Na</t>
    </r>
    <r>
      <rPr>
        <b/>
        <vertAlign val="superscript"/>
        <sz val="11"/>
        <color theme="1"/>
        <rFont val="Cambria"/>
        <family val="1"/>
      </rPr>
      <t>+</t>
    </r>
    <r>
      <rPr>
        <b/>
        <sz val="11"/>
        <color theme="1"/>
        <rFont val="Cambria"/>
        <family val="1"/>
      </rPr>
      <t xml:space="preserve"> (mg/L)</t>
    </r>
  </si>
  <si>
    <r>
      <t>K</t>
    </r>
    <r>
      <rPr>
        <b/>
        <vertAlign val="superscript"/>
        <sz val="11"/>
        <color theme="1"/>
        <rFont val="Cambria"/>
        <family val="1"/>
      </rPr>
      <t>+</t>
    </r>
    <r>
      <rPr>
        <b/>
        <sz val="11"/>
        <color theme="1"/>
        <rFont val="Cambria"/>
        <family val="1"/>
      </rPr>
      <t>(mg/L)</t>
    </r>
  </si>
  <si>
    <r>
      <t>Mg</t>
    </r>
    <r>
      <rPr>
        <b/>
        <vertAlign val="superscript"/>
        <sz val="11"/>
        <color theme="1"/>
        <rFont val="Cambria"/>
        <family val="1"/>
      </rPr>
      <t xml:space="preserve">2+ </t>
    </r>
    <r>
      <rPr>
        <b/>
        <sz val="11"/>
        <color theme="1"/>
        <rFont val="Cambria"/>
        <family val="1"/>
      </rPr>
      <t>(mg/L)</t>
    </r>
  </si>
  <si>
    <r>
      <t>Ca</t>
    </r>
    <r>
      <rPr>
        <b/>
        <vertAlign val="superscript"/>
        <sz val="11"/>
        <color theme="1"/>
        <rFont val="Cambria"/>
        <family val="1"/>
      </rPr>
      <t>2+</t>
    </r>
    <r>
      <rPr>
        <b/>
        <sz val="11"/>
        <color theme="1"/>
        <rFont val="Cambria"/>
        <family val="1"/>
      </rPr>
      <t>(mg/L)</t>
    </r>
  </si>
  <si>
    <r>
      <t>Cl</t>
    </r>
    <r>
      <rPr>
        <b/>
        <vertAlign val="superscript"/>
        <sz val="1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</si>
  <si>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SO</t>
    </r>
    <r>
      <rPr>
        <b/>
        <vertAlign val="subscript"/>
        <sz val="11"/>
        <color theme="1"/>
        <rFont val="Cambria"/>
        <family val="1"/>
      </rPr>
      <t>4</t>
    </r>
    <r>
      <rPr>
        <b/>
        <vertAlign val="superscript"/>
        <sz val="11"/>
        <color theme="1"/>
        <rFont val="Cambria"/>
        <family val="1"/>
      </rPr>
      <t>2-</t>
    </r>
    <r>
      <rPr>
        <b/>
        <sz val="11"/>
        <color theme="1"/>
        <rFont val="Cambria"/>
        <family val="1"/>
      </rPr>
      <t xml:space="preserve"> (mg/L)</t>
    </r>
  </si>
  <si>
    <r>
      <t>HCO</t>
    </r>
    <r>
      <rPr>
        <b/>
        <vertAlign val="subscript"/>
        <sz val="11"/>
        <color theme="1"/>
        <rFont val="Cambria"/>
        <family val="1"/>
      </rPr>
      <t>3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</si>
  <si>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PO</t>
    </r>
    <r>
      <rPr>
        <b/>
        <vertAlign val="subscript"/>
        <sz val="11"/>
        <color theme="1"/>
        <rFont val="Cambria"/>
        <family val="1"/>
      </rPr>
      <t>4</t>
    </r>
    <r>
      <rPr>
        <b/>
        <vertAlign val="superscript"/>
        <sz val="11"/>
        <color theme="1"/>
        <rFont val="Cambria"/>
        <family val="1"/>
      </rPr>
      <t>3-</t>
    </r>
    <r>
      <rPr>
        <b/>
        <sz val="11"/>
        <color theme="1"/>
        <rFont val="Cambria"/>
        <family val="1"/>
      </rPr>
      <t xml:space="preserve"> (mg/L)</t>
    </r>
  </si>
  <si>
    <r>
      <t>NO</t>
    </r>
    <r>
      <rPr>
        <b/>
        <vertAlign val="subscript"/>
        <sz val="11"/>
        <color theme="1"/>
        <rFont val="Cambria"/>
        <family val="1"/>
      </rPr>
      <t>3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</si>
  <si>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NO</t>
    </r>
    <r>
      <rPr>
        <b/>
        <vertAlign val="subscript"/>
        <sz val="11"/>
        <color theme="1"/>
        <rFont val="Cambria"/>
        <family val="1"/>
      </rPr>
      <t>2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</si>
  <si>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Br</t>
    </r>
    <r>
      <rPr>
        <b/>
        <vertAlign val="superscript"/>
        <sz val="11"/>
        <color theme="1"/>
        <rFont val="Cambria"/>
        <family val="1"/>
      </rPr>
      <t>-</t>
    </r>
    <r>
      <rPr>
        <b/>
        <sz val="11"/>
        <color theme="1"/>
        <rFont val="Cambria"/>
        <family val="1"/>
      </rPr>
      <t xml:space="preserve"> (mg/L)</t>
    </r>
  </si>
  <si>
    <r>
      <t>F</t>
    </r>
    <r>
      <rPr>
        <b/>
        <vertAlign val="superscript"/>
        <sz val="11"/>
        <color theme="1"/>
        <rFont val="Cambria"/>
        <family val="1"/>
      </rPr>
      <t xml:space="preserve">- </t>
    </r>
    <r>
      <rPr>
        <b/>
        <sz val="11"/>
        <color theme="1"/>
        <rFont val="Cambria"/>
        <family val="1"/>
      </rPr>
      <t>(mg/L)</t>
    </r>
  </si>
  <si>
    <r>
      <t>δ</t>
    </r>
    <r>
      <rPr>
        <b/>
        <vertAlign val="superscript"/>
        <sz val="11"/>
        <rFont val="Cambria"/>
        <family val="1"/>
      </rPr>
      <t>2</t>
    </r>
    <r>
      <rPr>
        <b/>
        <sz val="11"/>
        <rFont val="Cambria"/>
        <family val="1"/>
      </rPr>
      <t xml:space="preserve">H </t>
    </r>
  </si>
  <si>
    <r>
      <t>δ</t>
    </r>
    <r>
      <rPr>
        <b/>
        <vertAlign val="superscript"/>
        <sz val="11"/>
        <rFont val="Cambria"/>
        <family val="1"/>
      </rPr>
      <t>2</t>
    </r>
    <r>
      <rPr>
        <b/>
        <sz val="11"/>
        <rFont val="Cambria"/>
        <family val="1"/>
      </rPr>
      <t>H St.dev</t>
    </r>
  </si>
  <si>
    <r>
      <t>δ</t>
    </r>
    <r>
      <rPr>
        <b/>
        <vertAlign val="superscript"/>
        <sz val="11"/>
        <rFont val="Cambria"/>
        <family val="1"/>
      </rPr>
      <t>18</t>
    </r>
    <r>
      <rPr>
        <b/>
        <sz val="11"/>
        <rFont val="Cambria"/>
        <family val="1"/>
      </rPr>
      <t>O</t>
    </r>
  </si>
  <si>
    <r>
      <t>δ</t>
    </r>
    <r>
      <rPr>
        <b/>
        <vertAlign val="superscript"/>
        <sz val="11"/>
        <rFont val="Cambria"/>
        <family val="1"/>
      </rPr>
      <t>18</t>
    </r>
    <r>
      <rPr>
        <b/>
        <sz val="11"/>
        <rFont val="Cambria"/>
        <family val="1"/>
      </rPr>
      <t>O St.dev</t>
    </r>
  </si>
  <si>
    <t>d-excess</t>
  </si>
  <si>
    <t>HOLS001</t>
  </si>
  <si>
    <t>NaN</t>
  </si>
  <si>
    <t>BERGS001</t>
  </si>
  <si>
    <t>VERS001</t>
  </si>
  <si>
    <t>KAS101</t>
  </si>
  <si>
    <t>13/06/2023</t>
  </si>
  <si>
    <t>KAS102</t>
  </si>
  <si>
    <t>HOLS101</t>
  </si>
  <si>
    <t>HOLS102</t>
  </si>
  <si>
    <t>VERS102</t>
  </si>
  <si>
    <t>VERS103</t>
  </si>
  <si>
    <t>VERS104</t>
  </si>
  <si>
    <t>BERGS101</t>
  </si>
  <si>
    <t>BERGS102</t>
  </si>
  <si>
    <t>KRMSS101</t>
  </si>
  <si>
    <t>KRMSS102</t>
  </si>
  <si>
    <t>VERS101</t>
  </si>
  <si>
    <t>KAS201</t>
  </si>
  <si>
    <t>HOLS201</t>
  </si>
  <si>
    <t>VERS201</t>
  </si>
  <si>
    <t>VERS202</t>
  </si>
  <si>
    <t>KRMS201</t>
  </si>
  <si>
    <t>BERS202</t>
  </si>
  <si>
    <t>BERS203</t>
  </si>
  <si>
    <t>VERS203</t>
  </si>
  <si>
    <t>VERS204</t>
  </si>
  <si>
    <t>WETS201</t>
  </si>
  <si>
    <t>KAS301</t>
  </si>
  <si>
    <t>HOLS301</t>
  </si>
  <si>
    <t>HOLS302</t>
  </si>
  <si>
    <t>VERS301</t>
  </si>
  <si>
    <t>VERS302</t>
  </si>
  <si>
    <t>BERS301</t>
  </si>
  <si>
    <t>BERS302</t>
  </si>
  <si>
    <t>WETS301</t>
  </si>
  <si>
    <t>VERS303</t>
  </si>
  <si>
    <t>VERS304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</si>
</sst>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000000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vertAlign val="superscript"/>
      <sz val="11"/>
      <color theme="1"/>
      <name val="Cambria"/>
      <family val="1"/>
    </font>
    <font>
      <b/>
      <vertAlign val="superscript"/>
      <sz val="11"/>
      <name val="Cambria"/>
      <family val="1"/>
    </font>
    <font>
      <b/>
      <vertAlign val="subscript"/>
      <sz val="11"/>
      <color theme="1"/>
      <name val="Cambria"/>
      <family val="1"/>
    </font>
    <font>
      <sz val="11"/>
      <color theme="1"/>
      <name val="Cambria"/>
      <family val="1"/>
    </font>
    <font>
      <sz val="11"/>
      <color indexed="8"/>
      <name val="Cambria"/>
      <family val="1"/>
    </font>
    <font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0" fillId="0" borderId="1" xfId="2" applyNumberFormat="1" applyFont="1" applyFill="1" applyBorder="1" applyAlignment="1" applyProtection="1">
      <alignment horizontal="center" vertical="center"/>
    </xf>
    <xf numFmtId="2" fontId="10" fillId="0" borderId="1" xfId="3" applyNumberFormat="1" applyFont="1" applyFill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2" fontId="10" fillId="0" borderId="1" xfId="1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/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center"/>
    </xf>
    <xf numFmtId="2" fontId="10" fillId="0" borderId="0" xfId="0" applyNumberFormat="1" applyFont="1"/>
    <xf numFmtId="164" fontId="0" fillId="0" borderId="0" xfId="0" applyNumberFormat="1"/>
    <xf numFmtId="2" fontId="0" fillId="0" borderId="0" xfId="0" applyNumberFormat="1"/>
  </cellXfs>
  <cellStyles count="4">
    <cellStyle name="20% - Accent5" xfId="3" builtinId="46"/>
    <cellStyle name="Bad" xfId="2" builtinId="27"/>
    <cellStyle name="Good" xfId="1" builtinId="26"/>
    <cellStyle name="Normal" xfId="0" builtinId="0"/>
  </cellStyles>
  <dxfs count="7">
    <dxf>
      <font>
        <b/>
        <i val="0"/>
        <color rgb="FF00B0F0"/>
      </font>
      <fill>
        <patternFill>
          <bgColor rgb="FFFFFF00"/>
        </patternFill>
      </fill>
    </dxf>
    <dxf>
      <font>
        <b/>
        <i val="0"/>
        <color rgb="FF0070C0"/>
      </font>
      <fill>
        <patternFill patternType="solid"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2766-8831-4C9F-9F3A-F1F67F55E229}">
  <dimension ref="A1:AA38"/>
  <sheetViews>
    <sheetView tabSelected="1" workbookViewId="0">
      <selection sqref="A1:AA1048576"/>
    </sheetView>
  </sheetViews>
  <sheetFormatPr defaultRowHeight="15" x14ac:dyDescent="0.25"/>
  <cols>
    <col min="1" max="1" width="19.7109375" customWidth="1"/>
    <col min="2" max="2" width="11.85546875" bestFit="1" customWidth="1"/>
    <col min="3" max="3" width="9.42578125" style="32" bestFit="1" customWidth="1"/>
    <col min="4" max="4" width="11.28515625" style="32" bestFit="1" customWidth="1"/>
    <col min="5" max="5" width="18.28515625" style="33" customWidth="1"/>
    <col min="6" max="6" width="18.7109375" style="33" customWidth="1"/>
    <col min="7" max="7" width="9.7109375" style="33" customWidth="1"/>
    <col min="8" max="8" width="8" style="33" bestFit="1" customWidth="1"/>
    <col min="9" max="9" width="19.42578125" style="33" customWidth="1"/>
    <col min="10" max="10" width="17.5703125" style="33" customWidth="1"/>
    <col min="11" max="11" width="15.85546875" style="33" customWidth="1"/>
    <col min="12" max="12" width="12.5703125" style="33" customWidth="1"/>
    <col min="13" max="14" width="14" style="33" customWidth="1"/>
    <col min="15" max="15" width="13.140625" style="33" customWidth="1"/>
    <col min="16" max="16" width="15.28515625" style="33" customWidth="1"/>
    <col min="17" max="17" width="15.7109375" style="33" customWidth="1"/>
    <col min="18" max="18" width="16.140625" style="33" customWidth="1"/>
    <col min="19" max="19" width="14.5703125" style="33" customWidth="1"/>
    <col min="20" max="20" width="14.85546875" style="33" customWidth="1"/>
    <col min="21" max="21" width="12.42578125" style="33" customWidth="1"/>
    <col min="22" max="22" width="11.7109375" style="33" customWidth="1"/>
    <col min="23" max="23" width="6.7109375" style="33" bestFit="1" customWidth="1"/>
    <col min="24" max="24" width="11.140625" style="33" bestFit="1" customWidth="1"/>
    <col min="25" max="25" width="6" style="33" bestFit="1" customWidth="1"/>
    <col min="26" max="26" width="11.85546875" style="33" bestFit="1" customWidth="1"/>
    <col min="27" max="27" width="9.85546875" style="33" bestFit="1" customWidth="1"/>
  </cols>
  <sheetData>
    <row r="1" spans="1:27" ht="17.2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s="7" t="s">
        <v>27</v>
      </c>
      <c r="B2" s="8">
        <v>44994</v>
      </c>
      <c r="C2" s="9">
        <v>-32.600209999999997</v>
      </c>
      <c r="D2" s="9">
        <v>18.679698999999999</v>
      </c>
      <c r="E2" s="10" t="s">
        <v>28</v>
      </c>
      <c r="F2" s="11">
        <v>1887</v>
      </c>
      <c r="G2" s="10" t="s">
        <v>28</v>
      </c>
      <c r="H2" s="12">
        <v>7.1550000000000002</v>
      </c>
      <c r="I2" s="10" t="s">
        <v>28</v>
      </c>
      <c r="J2" s="13">
        <f>SUM(K2:V2)</f>
        <v>966.32900000000018</v>
      </c>
      <c r="K2" s="14">
        <v>185.3</v>
      </c>
      <c r="L2" s="14">
        <v>5.56</v>
      </c>
      <c r="M2" s="14">
        <v>53.89</v>
      </c>
      <c r="N2" s="14">
        <v>80.790000000000006</v>
      </c>
      <c r="O2" s="14">
        <v>558.03300000000002</v>
      </c>
      <c r="P2" s="14">
        <v>73.778000000000006</v>
      </c>
      <c r="Q2" s="13">
        <v>7</v>
      </c>
      <c r="R2" s="14">
        <v>0.1</v>
      </c>
      <c r="S2" s="14">
        <v>0.12</v>
      </c>
      <c r="T2" s="14" t="s">
        <v>28</v>
      </c>
      <c r="U2" s="14">
        <v>1.657</v>
      </c>
      <c r="V2" s="14">
        <v>0.10100000000000001</v>
      </c>
      <c r="W2" s="13">
        <v>1.34</v>
      </c>
      <c r="X2" s="13">
        <v>0.76</v>
      </c>
      <c r="Y2" s="13">
        <v>0.17199999999999999</v>
      </c>
      <c r="Z2" s="13">
        <v>9.8000000000000004E-2</v>
      </c>
      <c r="AA2" s="13">
        <f>W2-8*Y2</f>
        <v>-3.599999999999981E-2</v>
      </c>
    </row>
    <row r="3" spans="1:27" x14ac:dyDescent="0.25">
      <c r="A3" s="7" t="s">
        <v>29</v>
      </c>
      <c r="B3" s="8">
        <v>44991</v>
      </c>
      <c r="C3" s="9">
        <v>-32.429499999999997</v>
      </c>
      <c r="D3" s="9">
        <v>18.805499999999999</v>
      </c>
      <c r="E3" s="13" t="s">
        <v>28</v>
      </c>
      <c r="F3" s="11">
        <v>234.1</v>
      </c>
      <c r="G3" s="13" t="s">
        <v>28</v>
      </c>
      <c r="H3" s="12">
        <v>6.8319999999999999</v>
      </c>
      <c r="I3" s="13" t="s">
        <v>28</v>
      </c>
      <c r="J3" s="13">
        <f>SUM(K3:V3)</f>
        <v>174.27199999999999</v>
      </c>
      <c r="K3" s="14">
        <v>31.9</v>
      </c>
      <c r="L3" s="10">
        <v>0.1</v>
      </c>
      <c r="M3" s="14">
        <v>4.28</v>
      </c>
      <c r="N3" s="14">
        <v>2</v>
      </c>
      <c r="O3" s="14">
        <v>70.024000000000001</v>
      </c>
      <c r="P3" s="14">
        <v>4.0739999999999998</v>
      </c>
      <c r="Q3" s="13">
        <v>60.1</v>
      </c>
      <c r="R3" s="14">
        <v>0.1</v>
      </c>
      <c r="S3" s="14">
        <v>1.403</v>
      </c>
      <c r="T3" s="14" t="s">
        <v>28</v>
      </c>
      <c r="U3" s="14">
        <v>0.23799999999999999</v>
      </c>
      <c r="V3" s="14">
        <v>5.2999999999999999E-2</v>
      </c>
      <c r="W3" s="13">
        <v>-18.329999999999998</v>
      </c>
      <c r="X3" s="13">
        <v>0.7</v>
      </c>
      <c r="Y3" s="13">
        <v>-4.4169999999999998</v>
      </c>
      <c r="Z3" s="13">
        <v>3.1E-2</v>
      </c>
      <c r="AA3" s="13">
        <f>W3-8*Y3</f>
        <v>17.006</v>
      </c>
    </row>
    <row r="4" spans="1:27" x14ac:dyDescent="0.25">
      <c r="A4" s="7" t="s">
        <v>30</v>
      </c>
      <c r="B4" s="8">
        <v>44993</v>
      </c>
      <c r="C4" s="9">
        <v>-32.34798</v>
      </c>
      <c r="D4" s="9">
        <v>18.438465999999998</v>
      </c>
      <c r="E4" s="13" t="s">
        <v>28</v>
      </c>
      <c r="F4" s="11">
        <v>8380</v>
      </c>
      <c r="G4" s="13" t="s">
        <v>28</v>
      </c>
      <c r="H4" s="12">
        <v>8.6940000000000008</v>
      </c>
      <c r="I4" s="13" t="s">
        <v>28</v>
      </c>
      <c r="J4" s="13">
        <f>SUM(K4:V4)</f>
        <v>4899.7299999999996</v>
      </c>
      <c r="K4" s="14">
        <v>1210</v>
      </c>
      <c r="L4" s="14">
        <v>40.58</v>
      </c>
      <c r="M4" s="14">
        <v>192.8</v>
      </c>
      <c r="N4" s="14">
        <v>99.01</v>
      </c>
      <c r="O4" s="14">
        <v>2802.6089999999999</v>
      </c>
      <c r="P4" s="14">
        <v>449.33800000000002</v>
      </c>
      <c r="Q4" s="13">
        <v>95.7</v>
      </c>
      <c r="R4" s="14">
        <v>0.1</v>
      </c>
      <c r="S4" s="14">
        <v>0.05</v>
      </c>
      <c r="T4" s="14" t="s">
        <v>28</v>
      </c>
      <c r="U4" s="14">
        <v>8.8789999999999996</v>
      </c>
      <c r="V4" s="14">
        <v>0.66400000000000003</v>
      </c>
      <c r="W4" s="13">
        <v>-2.94</v>
      </c>
      <c r="X4" s="13">
        <v>0.32</v>
      </c>
      <c r="Y4" s="13">
        <v>-1.6339999999999999</v>
      </c>
      <c r="Z4" s="13">
        <v>7.3999999999999996E-2</v>
      </c>
      <c r="AA4" s="13">
        <f>W4-8*Y4</f>
        <v>10.132</v>
      </c>
    </row>
    <row r="5" spans="1:27" x14ac:dyDescent="0.25">
      <c r="A5" s="15" t="s">
        <v>31</v>
      </c>
      <c r="B5" s="16" t="s">
        <v>32</v>
      </c>
      <c r="C5" s="17">
        <v>-32.600786999999997</v>
      </c>
      <c r="D5" s="17">
        <v>18.691049</v>
      </c>
      <c r="E5" s="18">
        <v>295</v>
      </c>
      <c r="F5" s="18">
        <v>52.19</v>
      </c>
      <c r="G5" s="18">
        <v>3.7</v>
      </c>
      <c r="H5" s="18">
        <v>7.4189999999999996</v>
      </c>
      <c r="I5" s="18">
        <v>212</v>
      </c>
      <c r="J5" s="18">
        <f>SUM(K5:AA5)</f>
        <v>30.524299999999997</v>
      </c>
      <c r="K5" s="19">
        <v>5.2549999999999999</v>
      </c>
      <c r="L5" s="19">
        <v>0.93230000000000002</v>
      </c>
      <c r="M5" s="19">
        <v>1.03</v>
      </c>
      <c r="N5" s="19">
        <v>1.877</v>
      </c>
      <c r="O5" s="20">
        <v>10.483000000000001</v>
      </c>
      <c r="P5" s="20">
        <v>2.48</v>
      </c>
      <c r="Q5" s="18">
        <v>9.6</v>
      </c>
      <c r="R5" s="20">
        <v>0.1</v>
      </c>
      <c r="S5" s="20">
        <v>0.2</v>
      </c>
      <c r="T5" s="20" t="s">
        <v>28</v>
      </c>
      <c r="U5" s="20">
        <v>0.05</v>
      </c>
      <c r="V5" s="20">
        <v>0.05</v>
      </c>
      <c r="W5" s="18">
        <v>-13.43</v>
      </c>
      <c r="X5" s="13">
        <v>0.32</v>
      </c>
      <c r="Y5" s="18">
        <v>-3.56</v>
      </c>
      <c r="Z5" s="13">
        <v>8.6999999999999994E-2</v>
      </c>
      <c r="AA5" s="13">
        <f>W5-8*Y5</f>
        <v>15.05</v>
      </c>
    </row>
    <row r="6" spans="1:27" x14ac:dyDescent="0.25">
      <c r="A6" s="15" t="s">
        <v>33</v>
      </c>
      <c r="B6" s="16" t="s">
        <v>32</v>
      </c>
      <c r="C6" s="17">
        <v>-32.714350000000003</v>
      </c>
      <c r="D6" s="17">
        <v>18.708313</v>
      </c>
      <c r="E6" s="18">
        <v>60.3</v>
      </c>
      <c r="F6" s="18">
        <v>65.11</v>
      </c>
      <c r="G6" s="18">
        <v>6.24</v>
      </c>
      <c r="H6" s="18">
        <v>7.1239999999999997</v>
      </c>
      <c r="I6" s="18">
        <v>35.700000000000003</v>
      </c>
      <c r="J6" s="18">
        <f>SUM(K6:AA6)</f>
        <v>32.861499999999992</v>
      </c>
      <c r="K6" s="19">
        <v>4.1260000000000003</v>
      </c>
      <c r="L6" s="19">
        <v>1.161</v>
      </c>
      <c r="M6" s="19">
        <v>0.75449999999999995</v>
      </c>
      <c r="N6" s="19">
        <v>1.73</v>
      </c>
      <c r="O6" s="20">
        <v>13.602</v>
      </c>
      <c r="P6" s="20">
        <v>3.1509999999999998</v>
      </c>
      <c r="Q6" s="18">
        <v>8.4</v>
      </c>
      <c r="R6" s="20">
        <v>0.1</v>
      </c>
      <c r="S6" s="20">
        <v>0.379</v>
      </c>
      <c r="T6" s="20" t="s">
        <v>28</v>
      </c>
      <c r="U6" s="20">
        <v>0.05</v>
      </c>
      <c r="V6" s="20">
        <v>0.05</v>
      </c>
      <c r="W6" s="18">
        <v>-15.55</v>
      </c>
      <c r="X6" s="13">
        <v>0.72</v>
      </c>
      <c r="Y6" s="18">
        <v>-4.2350000000000003</v>
      </c>
      <c r="Z6" s="13">
        <v>9.2999999999999999E-2</v>
      </c>
      <c r="AA6" s="13">
        <f>W6-8*Y6</f>
        <v>18.330000000000002</v>
      </c>
    </row>
    <row r="7" spans="1:27" x14ac:dyDescent="0.25">
      <c r="A7" s="21" t="s">
        <v>34</v>
      </c>
      <c r="B7" s="16" t="s">
        <v>32</v>
      </c>
      <c r="C7" s="9">
        <v>-32.600209999999997</v>
      </c>
      <c r="D7" s="9">
        <v>18.679698999999999</v>
      </c>
      <c r="E7" s="18">
        <v>1420</v>
      </c>
      <c r="F7" s="18">
        <v>1623</v>
      </c>
      <c r="G7" s="18">
        <v>3.74</v>
      </c>
      <c r="H7" s="18">
        <v>6.7880000000000003</v>
      </c>
      <c r="I7" s="18">
        <v>852</v>
      </c>
      <c r="J7" s="18">
        <f>SUM(K7:AA7)</f>
        <v>986.37799999999993</v>
      </c>
      <c r="K7" s="19">
        <v>183.4</v>
      </c>
      <c r="L7" s="19">
        <v>7.359</v>
      </c>
      <c r="M7" s="19">
        <v>53.76</v>
      </c>
      <c r="N7" s="19">
        <v>77.25</v>
      </c>
      <c r="O7" s="20">
        <v>521.35699999999997</v>
      </c>
      <c r="P7" s="20">
        <v>63.357999999999997</v>
      </c>
      <c r="Q7" s="18">
        <v>73.8</v>
      </c>
      <c r="R7" s="20">
        <v>0.1</v>
      </c>
      <c r="S7" s="20" t="s">
        <v>28</v>
      </c>
      <c r="T7" s="20" t="s">
        <v>28</v>
      </c>
      <c r="U7" s="20">
        <v>1.518</v>
      </c>
      <c r="V7" s="20">
        <v>0.05</v>
      </c>
      <c r="W7" s="18">
        <v>1.27</v>
      </c>
      <c r="X7" s="13">
        <v>0.69</v>
      </c>
      <c r="Y7" s="13">
        <v>-0.159</v>
      </c>
      <c r="Z7" s="13">
        <v>8.3000000000000004E-2</v>
      </c>
      <c r="AA7" s="13">
        <f>W7-8*Y7</f>
        <v>2.5419999999999998</v>
      </c>
    </row>
    <row r="8" spans="1:27" x14ac:dyDescent="0.25">
      <c r="A8" s="21" t="s">
        <v>35</v>
      </c>
      <c r="B8" s="16" t="s">
        <v>32</v>
      </c>
      <c r="C8" s="17">
        <v>-32.607686000000001</v>
      </c>
      <c r="D8" s="17">
        <v>18.663474999999998</v>
      </c>
      <c r="E8" s="18">
        <v>4170</v>
      </c>
      <c r="F8" s="18">
        <v>3690</v>
      </c>
      <c r="G8" s="18">
        <v>3.9</v>
      </c>
      <c r="H8" s="18">
        <v>7.0330000000000004</v>
      </c>
      <c r="I8" s="18">
        <v>852</v>
      </c>
      <c r="J8" s="18">
        <f>SUM(K8:AA8)</f>
        <v>2120.7529999999997</v>
      </c>
      <c r="K8" s="19">
        <v>558.79999999999995</v>
      </c>
      <c r="L8" s="19">
        <v>10.32</v>
      </c>
      <c r="M8" s="19">
        <v>111.2</v>
      </c>
      <c r="N8" s="19">
        <v>90.01</v>
      </c>
      <c r="O8" s="20">
        <v>1259.011</v>
      </c>
      <c r="P8" s="20" t="s">
        <v>28</v>
      </c>
      <c r="Q8" s="18">
        <v>83.6</v>
      </c>
      <c r="R8" s="20">
        <v>0.1</v>
      </c>
      <c r="S8" s="20">
        <v>0.53400000000000003</v>
      </c>
      <c r="T8" s="20" t="s">
        <v>28</v>
      </c>
      <c r="U8" s="20">
        <v>3.1309999999999998</v>
      </c>
      <c r="V8" s="20">
        <v>0.255</v>
      </c>
      <c r="W8" s="18">
        <v>-9.6300000000000008</v>
      </c>
      <c r="X8" s="13">
        <v>0.35</v>
      </c>
      <c r="Y8" s="13">
        <v>-3.2320000000000002</v>
      </c>
      <c r="Z8" s="13">
        <v>7.8E-2</v>
      </c>
      <c r="AA8" s="13">
        <f>W8-8*Y8</f>
        <v>16.225999999999999</v>
      </c>
    </row>
    <row r="9" spans="1:27" x14ac:dyDescent="0.25">
      <c r="A9" s="15" t="s">
        <v>36</v>
      </c>
      <c r="B9" s="16" t="s">
        <v>32</v>
      </c>
      <c r="C9" s="17">
        <v>-32.529969999999999</v>
      </c>
      <c r="D9" s="17">
        <v>18.647469999999998</v>
      </c>
      <c r="E9" s="18">
        <v>1273</v>
      </c>
      <c r="F9" s="18">
        <v>4616</v>
      </c>
      <c r="G9" s="18">
        <v>4.2699999999999996</v>
      </c>
      <c r="H9" s="18">
        <v>5.5750000000000002</v>
      </c>
      <c r="I9" s="18">
        <v>854</v>
      </c>
      <c r="J9" s="18">
        <f t="shared" ref="J9:J11" si="0">SUM(K9:AA9)</f>
        <v>375.14600000000007</v>
      </c>
      <c r="K9" s="19">
        <v>88</v>
      </c>
      <c r="L9" s="19">
        <v>4.2480000000000002</v>
      </c>
      <c r="M9" s="19">
        <v>17.37</v>
      </c>
      <c r="N9" s="19">
        <v>16.13</v>
      </c>
      <c r="O9" s="20">
        <v>193.62100000000001</v>
      </c>
      <c r="P9" s="20">
        <v>32.484000000000002</v>
      </c>
      <c r="Q9" s="18">
        <v>26.5</v>
      </c>
      <c r="R9" s="20">
        <v>0.1</v>
      </c>
      <c r="S9" s="20">
        <v>0.05</v>
      </c>
      <c r="T9" s="20" t="s">
        <v>28</v>
      </c>
      <c r="U9" s="20">
        <v>0.497</v>
      </c>
      <c r="V9" s="20">
        <v>0.05</v>
      </c>
      <c r="W9" s="18">
        <v>-16.670000000000002</v>
      </c>
      <c r="X9" s="13">
        <v>0.37</v>
      </c>
      <c r="Y9" s="18">
        <v>-4.1399999999999997</v>
      </c>
      <c r="Z9" s="13">
        <v>8.5999999999999993E-2</v>
      </c>
      <c r="AA9" s="13">
        <f>W9-8*Y9</f>
        <v>16.449999999999996</v>
      </c>
    </row>
    <row r="10" spans="1:27" x14ac:dyDescent="0.25">
      <c r="A10" s="15" t="s">
        <v>37</v>
      </c>
      <c r="B10" s="16" t="s">
        <v>32</v>
      </c>
      <c r="C10" s="22">
        <v>-32.433700000000002</v>
      </c>
      <c r="D10" s="22">
        <v>18.503599999999999</v>
      </c>
      <c r="E10" s="18">
        <v>686</v>
      </c>
      <c r="F10" s="18">
        <v>655.1</v>
      </c>
      <c r="G10" s="18">
        <v>3.96</v>
      </c>
      <c r="H10" s="18">
        <v>7.1120000000000001</v>
      </c>
      <c r="I10" s="18">
        <v>482</v>
      </c>
      <c r="J10" s="18">
        <f t="shared" si="0"/>
        <v>185.69699999999997</v>
      </c>
      <c r="K10" s="19">
        <v>40.99</v>
      </c>
      <c r="L10" s="19">
        <v>5.3140000000000001</v>
      </c>
      <c r="M10" s="19">
        <v>9.0909999999999993</v>
      </c>
      <c r="N10" s="19">
        <v>7.923</v>
      </c>
      <c r="O10" s="20">
        <v>80.59</v>
      </c>
      <c r="P10" s="20">
        <v>18.707999999999998</v>
      </c>
      <c r="Q10" s="18">
        <v>23.7</v>
      </c>
      <c r="R10" s="20">
        <v>0.45200000000000001</v>
      </c>
      <c r="S10" s="20">
        <v>5.3999999999999999E-2</v>
      </c>
      <c r="T10" s="20" t="s">
        <v>28</v>
      </c>
      <c r="U10" s="20">
        <v>0.17100000000000001</v>
      </c>
      <c r="V10" s="20">
        <v>6.3E-2</v>
      </c>
      <c r="W10" s="18">
        <v>-15.22</v>
      </c>
      <c r="X10" s="13">
        <v>0.67</v>
      </c>
      <c r="Y10" s="18">
        <v>-4.05</v>
      </c>
      <c r="Z10" s="13">
        <v>6.0999999999999999E-2</v>
      </c>
      <c r="AA10" s="13">
        <f>W10-8*Y10</f>
        <v>17.18</v>
      </c>
    </row>
    <row r="11" spans="1:27" x14ac:dyDescent="0.25">
      <c r="A11" s="15" t="s">
        <v>38</v>
      </c>
      <c r="B11" s="16" t="s">
        <v>32</v>
      </c>
      <c r="C11" s="17">
        <v>-32.397979999999997</v>
      </c>
      <c r="D11" s="17">
        <v>18.474489999999999</v>
      </c>
      <c r="E11" s="18">
        <v>932</v>
      </c>
      <c r="F11" s="18">
        <v>327.5</v>
      </c>
      <c r="G11" s="18">
        <v>3.79</v>
      </c>
      <c r="H11" s="18">
        <v>7.06</v>
      </c>
      <c r="I11" s="18">
        <v>557</v>
      </c>
      <c r="J11" s="18">
        <f t="shared" si="0"/>
        <v>439.46999999999997</v>
      </c>
      <c r="K11" s="19">
        <v>97.52</v>
      </c>
      <c r="L11" s="19">
        <v>10.38</v>
      </c>
      <c r="M11" s="19">
        <v>20.71</v>
      </c>
      <c r="N11" s="19">
        <v>18.350000000000001</v>
      </c>
      <c r="O11" s="20">
        <v>200.708</v>
      </c>
      <c r="P11" s="20">
        <v>61.645000000000003</v>
      </c>
      <c r="Q11" s="18">
        <v>25.1</v>
      </c>
      <c r="R11" s="20">
        <v>0.55000000000000004</v>
      </c>
      <c r="S11" s="20">
        <v>3.2759999999999998</v>
      </c>
      <c r="T11" s="20" t="s">
        <v>28</v>
      </c>
      <c r="U11" s="20">
        <v>0.40400000000000003</v>
      </c>
      <c r="V11" s="20">
        <v>0.05</v>
      </c>
      <c r="W11" s="18">
        <v>-13.97</v>
      </c>
      <c r="X11" s="13">
        <v>0.77</v>
      </c>
      <c r="Y11" s="18">
        <v>-3.9870000000000001</v>
      </c>
      <c r="Z11" s="13">
        <v>3.7999999999999999E-2</v>
      </c>
      <c r="AA11" s="13">
        <f t="shared" ref="AA11" si="1">W11-8*Y11</f>
        <v>17.926000000000002</v>
      </c>
    </row>
    <row r="12" spans="1:27" x14ac:dyDescent="0.25">
      <c r="A12" s="23" t="s">
        <v>39</v>
      </c>
      <c r="B12" s="16">
        <v>45266</v>
      </c>
      <c r="C12" s="9">
        <v>-32.429499999999997</v>
      </c>
      <c r="D12" s="9">
        <v>18.805499999999999</v>
      </c>
      <c r="E12" s="18">
        <v>175</v>
      </c>
      <c r="F12" s="18">
        <v>161.9</v>
      </c>
      <c r="G12" s="18">
        <v>6.17</v>
      </c>
      <c r="H12" s="18">
        <v>6.9820000000000002</v>
      </c>
      <c r="I12" s="18">
        <v>104.1</v>
      </c>
      <c r="J12" s="18">
        <f>SUM(K12:AA12)</f>
        <v>86.651999999999987</v>
      </c>
      <c r="K12" s="19">
        <v>19.48</v>
      </c>
      <c r="L12" s="19">
        <v>3.2320000000000002</v>
      </c>
      <c r="M12" s="19">
        <v>3.7850000000000001</v>
      </c>
      <c r="N12" s="19">
        <v>2.2789999999999999</v>
      </c>
      <c r="O12" s="20">
        <v>40.706000000000003</v>
      </c>
      <c r="P12" s="20">
        <v>6.093</v>
      </c>
      <c r="Q12" s="18">
        <v>8.3000000000000007</v>
      </c>
      <c r="R12" s="20">
        <v>0.1</v>
      </c>
      <c r="S12" s="20">
        <v>8.7409999999999997</v>
      </c>
      <c r="T12" s="20" t="s">
        <v>28</v>
      </c>
      <c r="U12" s="20">
        <v>0.106</v>
      </c>
      <c r="V12" s="20">
        <v>0.05</v>
      </c>
      <c r="W12" s="18">
        <v>-17.39</v>
      </c>
      <c r="X12" s="13">
        <v>0.75</v>
      </c>
      <c r="Y12" s="18">
        <v>-3.964</v>
      </c>
      <c r="Z12" s="13">
        <v>6.2E-2</v>
      </c>
      <c r="AA12" s="13">
        <f>W12-8*Y12</f>
        <v>14.321999999999999</v>
      </c>
    </row>
    <row r="13" spans="1:27" x14ac:dyDescent="0.25">
      <c r="A13" s="23" t="s">
        <v>40</v>
      </c>
      <c r="B13" s="16">
        <v>45266</v>
      </c>
      <c r="C13" s="17">
        <v>-32.442570000000003</v>
      </c>
      <c r="D13" s="17">
        <v>18.784400000000002</v>
      </c>
      <c r="E13" s="18">
        <v>261</v>
      </c>
      <c r="F13" s="18">
        <v>240.6</v>
      </c>
      <c r="G13" s="18">
        <v>5.86</v>
      </c>
      <c r="H13" s="18">
        <v>6.7709999999999999</v>
      </c>
      <c r="I13" s="18">
        <v>154</v>
      </c>
      <c r="J13" s="18">
        <f t="shared" ref="J13" si="2">SUM(K13:AA13)</f>
        <v>142.18800000000002</v>
      </c>
      <c r="K13" s="19">
        <v>39.97</v>
      </c>
      <c r="L13" s="19">
        <v>3.7959999999999998</v>
      </c>
      <c r="M13" s="19">
        <v>7.2229999999999999</v>
      </c>
      <c r="N13" s="19">
        <v>4.9059999999999997</v>
      </c>
      <c r="O13" s="20">
        <v>63.69</v>
      </c>
      <c r="P13" s="20">
        <v>11.250999999999999</v>
      </c>
      <c r="Q13" s="18">
        <v>9.8000000000000007</v>
      </c>
      <c r="R13" s="20" t="s">
        <v>28</v>
      </c>
      <c r="S13" s="20">
        <v>6.7510000000000003</v>
      </c>
      <c r="T13" s="20" t="s">
        <v>28</v>
      </c>
      <c r="U13" s="20">
        <v>0.14299999999999999</v>
      </c>
      <c r="V13" s="20">
        <v>4.8000000000000001E-2</v>
      </c>
      <c r="W13" s="18">
        <v>-16.79</v>
      </c>
      <c r="X13" s="13">
        <v>0.28999999999999998</v>
      </c>
      <c r="Y13" s="18">
        <v>-3.9769999999999999</v>
      </c>
      <c r="Z13" s="13">
        <v>6.0999999999999999E-2</v>
      </c>
      <c r="AA13" s="13">
        <f>W13-8*Y13</f>
        <v>15.026</v>
      </c>
    </row>
    <row r="14" spans="1:27" x14ac:dyDescent="0.25">
      <c r="A14" s="24" t="s">
        <v>41</v>
      </c>
      <c r="B14" s="16" t="s">
        <v>32</v>
      </c>
      <c r="C14" s="17">
        <v>-32.600969999999997</v>
      </c>
      <c r="D14" s="17">
        <v>18.69331</v>
      </c>
      <c r="E14" s="18">
        <v>1154</v>
      </c>
      <c r="F14" s="18">
        <v>882.2</v>
      </c>
      <c r="G14" s="18">
        <v>4.3099999999999996</v>
      </c>
      <c r="H14" s="18">
        <v>7.2949999999999999</v>
      </c>
      <c r="I14" s="18">
        <v>691</v>
      </c>
      <c r="J14" s="18">
        <f t="shared" ref="J14:J15" si="3">SUM(K14:AA14)</f>
        <v>523.03300000000002</v>
      </c>
      <c r="K14" s="19">
        <v>122.4</v>
      </c>
      <c r="L14" s="19">
        <v>4.9889999999999999</v>
      </c>
      <c r="M14" s="19">
        <v>25.32</v>
      </c>
      <c r="N14" s="19">
        <v>18.510000000000002</v>
      </c>
      <c r="O14" s="20">
        <v>284.55</v>
      </c>
      <c r="P14" s="20">
        <v>32.122999999999998</v>
      </c>
      <c r="Q14" s="18">
        <v>35.9</v>
      </c>
      <c r="R14" s="20">
        <v>0.1</v>
      </c>
      <c r="S14" s="20">
        <v>0.31</v>
      </c>
      <c r="T14" s="20" t="s">
        <v>28</v>
      </c>
      <c r="U14" s="20">
        <v>0.76</v>
      </c>
      <c r="V14" s="20">
        <v>9.6000000000000002E-2</v>
      </c>
      <c r="W14" s="18">
        <v>-16.510000000000002</v>
      </c>
      <c r="X14" s="13">
        <v>0.92</v>
      </c>
      <c r="Y14" s="18">
        <v>-4.2850000000000001</v>
      </c>
      <c r="Z14" s="13">
        <v>0.08</v>
      </c>
      <c r="AA14" s="13">
        <f>W14-8*Y14</f>
        <v>17.77</v>
      </c>
    </row>
    <row r="15" spans="1:27" x14ac:dyDescent="0.25">
      <c r="A15" s="24" t="s">
        <v>42</v>
      </c>
      <c r="B15" s="16" t="s">
        <v>32</v>
      </c>
      <c r="C15" s="17">
        <v>-32.601419999999997</v>
      </c>
      <c r="D15" s="17">
        <v>18.749839999999999</v>
      </c>
      <c r="E15" s="18">
        <v>3080</v>
      </c>
      <c r="F15" s="18">
        <v>2174</v>
      </c>
      <c r="G15" s="18">
        <v>3.61</v>
      </c>
      <c r="H15" s="18">
        <v>7.0780000000000003</v>
      </c>
      <c r="I15" s="18">
        <v>2170</v>
      </c>
      <c r="J15" s="18">
        <f t="shared" si="3"/>
        <v>1288.8809999999996</v>
      </c>
      <c r="K15" s="19">
        <v>310.3</v>
      </c>
      <c r="L15" s="19">
        <v>9.8849999999999998</v>
      </c>
      <c r="M15" s="19">
        <v>64.88</v>
      </c>
      <c r="N15" s="19">
        <v>39.729999999999997</v>
      </c>
      <c r="O15" s="20">
        <v>720.71699999999998</v>
      </c>
      <c r="P15" s="20">
        <v>68.572000000000003</v>
      </c>
      <c r="Q15" s="18">
        <v>73.7</v>
      </c>
      <c r="R15" s="20">
        <v>0.1</v>
      </c>
      <c r="S15" s="20">
        <v>1.536</v>
      </c>
      <c r="T15" s="20" t="s">
        <v>28</v>
      </c>
      <c r="U15" s="20">
        <v>2.0249999999999999</v>
      </c>
      <c r="V15" s="20">
        <v>0.185</v>
      </c>
      <c r="W15" s="18">
        <v>-15.99</v>
      </c>
      <c r="X15" s="13">
        <v>0.61</v>
      </c>
      <c r="Y15" s="18">
        <v>-4.0839999999999996</v>
      </c>
      <c r="Z15" s="13">
        <v>3.3000000000000002E-2</v>
      </c>
      <c r="AA15" s="13">
        <f>W15-8*Y15</f>
        <v>16.681999999999995</v>
      </c>
    </row>
    <row r="16" spans="1:27" x14ac:dyDescent="0.25">
      <c r="A16" s="24" t="s">
        <v>43</v>
      </c>
      <c r="B16" s="16">
        <v>45090</v>
      </c>
      <c r="C16" s="9">
        <v>-32.34798</v>
      </c>
      <c r="D16" s="9">
        <v>18.438465999999998</v>
      </c>
      <c r="E16" s="18">
        <v>7180</v>
      </c>
      <c r="F16" s="13" t="s">
        <v>28</v>
      </c>
      <c r="G16" s="18">
        <v>3.13</v>
      </c>
      <c r="H16" s="13" t="s">
        <v>28</v>
      </c>
      <c r="I16" s="18">
        <v>4490</v>
      </c>
      <c r="J16" s="18">
        <f>SUM(K16:AA16)</f>
        <v>37851.642</v>
      </c>
      <c r="K16" s="19">
        <v>8113</v>
      </c>
      <c r="L16" s="19">
        <v>167.1</v>
      </c>
      <c r="M16" s="19">
        <v>2464</v>
      </c>
      <c r="N16" s="19">
        <v>877.6</v>
      </c>
      <c r="O16" s="18">
        <v>18759.98</v>
      </c>
      <c r="P16" s="18">
        <v>7363.17</v>
      </c>
      <c r="Q16" s="18">
        <v>40.5</v>
      </c>
      <c r="R16" s="20" t="s">
        <v>28</v>
      </c>
      <c r="S16" s="20" t="s">
        <v>28</v>
      </c>
      <c r="T16" s="20" t="s">
        <v>28</v>
      </c>
      <c r="U16" s="18">
        <v>51.95</v>
      </c>
      <c r="V16" s="20">
        <v>0.05</v>
      </c>
      <c r="W16" s="18">
        <v>5.9</v>
      </c>
      <c r="X16" s="13">
        <v>0.72</v>
      </c>
      <c r="Y16" s="18">
        <v>-0.23899999999999999</v>
      </c>
      <c r="Z16" s="13">
        <v>9.9000000000000005E-2</v>
      </c>
      <c r="AA16" s="13">
        <f>W16-8*Y16</f>
        <v>7.8120000000000003</v>
      </c>
    </row>
    <row r="17" spans="1:27" x14ac:dyDescent="0.25">
      <c r="A17" s="15" t="s">
        <v>44</v>
      </c>
      <c r="B17" s="8">
        <v>45252</v>
      </c>
      <c r="C17" s="22">
        <v>-32.714350000000003</v>
      </c>
      <c r="D17" s="22">
        <v>18.708313</v>
      </c>
      <c r="E17" s="13" t="s">
        <v>28</v>
      </c>
      <c r="F17" s="13">
        <v>145.6</v>
      </c>
      <c r="G17" s="13" t="s">
        <v>28</v>
      </c>
      <c r="H17" s="13">
        <v>6.9349999999999996</v>
      </c>
      <c r="I17" s="13" t="s">
        <v>28</v>
      </c>
      <c r="J17" s="13">
        <f>SUM(K17:AA17)</f>
        <v>77.104199292311989</v>
      </c>
      <c r="K17" s="10">
        <v>15.74</v>
      </c>
      <c r="L17" s="10">
        <v>0.60209999999999997</v>
      </c>
      <c r="M17" s="10">
        <v>3.093</v>
      </c>
      <c r="N17" s="10">
        <v>5.4470000000000001</v>
      </c>
      <c r="O17" s="14">
        <v>33.14</v>
      </c>
      <c r="P17" s="14">
        <v>8.15</v>
      </c>
      <c r="Q17" s="25">
        <v>8.8000000000000007</v>
      </c>
      <c r="R17" s="14" t="s">
        <v>28</v>
      </c>
      <c r="S17" s="14">
        <v>0.995</v>
      </c>
      <c r="T17" s="14" t="s">
        <v>28</v>
      </c>
      <c r="U17" s="14">
        <v>0.111</v>
      </c>
      <c r="V17" s="14">
        <v>0.05</v>
      </c>
      <c r="W17" s="13">
        <v>-9.7380695465832776</v>
      </c>
      <c r="X17" s="13">
        <v>6.8168663377439709E-2</v>
      </c>
      <c r="Y17" s="13">
        <v>-2.905637560203397</v>
      </c>
      <c r="Z17" s="13">
        <v>4.4606800677325656E-2</v>
      </c>
      <c r="AA17" s="13">
        <v>13.507030935043899</v>
      </c>
    </row>
    <row r="18" spans="1:27" x14ac:dyDescent="0.25">
      <c r="A18" s="15" t="s">
        <v>45</v>
      </c>
      <c r="B18" s="8">
        <v>45253</v>
      </c>
      <c r="C18" s="9">
        <v>-32.600209999999997</v>
      </c>
      <c r="D18" s="9">
        <v>18.679698999999999</v>
      </c>
      <c r="E18" s="13" t="s">
        <v>28</v>
      </c>
      <c r="F18" s="13">
        <v>968.9</v>
      </c>
      <c r="G18" s="13" t="s">
        <v>28</v>
      </c>
      <c r="H18" s="13">
        <v>7.44</v>
      </c>
      <c r="I18" s="13" t="s">
        <v>28</v>
      </c>
      <c r="J18" s="13">
        <f>SUM(K18:AA18)</f>
        <v>512.39811489547651</v>
      </c>
      <c r="K18" s="10">
        <v>100.9</v>
      </c>
      <c r="L18" s="10">
        <v>2.25</v>
      </c>
      <c r="M18" s="10">
        <v>24.97</v>
      </c>
      <c r="N18" s="10">
        <v>37.049999999999997</v>
      </c>
      <c r="O18" s="14">
        <v>248.887</v>
      </c>
      <c r="P18" s="14">
        <v>31.091000000000001</v>
      </c>
      <c r="Q18" s="13">
        <v>63.6</v>
      </c>
      <c r="R18" s="14" t="s">
        <v>28</v>
      </c>
      <c r="S18" s="14">
        <v>0.05</v>
      </c>
      <c r="T18" s="14" t="s">
        <v>28</v>
      </c>
      <c r="U18" s="14">
        <v>0.75700000000000001</v>
      </c>
      <c r="V18" s="14">
        <v>7.1999999999999995E-2</v>
      </c>
      <c r="W18" s="13">
        <v>-2.8666561765599297</v>
      </c>
      <c r="X18" s="13">
        <v>0.16084619983076998</v>
      </c>
      <c r="Y18" s="13">
        <v>-1.189404821214479</v>
      </c>
      <c r="Z18" s="13">
        <v>1.7747300264171605E-2</v>
      </c>
      <c r="AA18" s="13">
        <v>6.6485823931559018</v>
      </c>
    </row>
    <row r="19" spans="1:27" x14ac:dyDescent="0.25">
      <c r="A19" s="15" t="s">
        <v>46</v>
      </c>
      <c r="B19" s="8">
        <v>45252</v>
      </c>
      <c r="C19" s="22">
        <v>-32.433700000000002</v>
      </c>
      <c r="D19" s="22">
        <v>18.503599999999999</v>
      </c>
      <c r="E19" s="13" t="s">
        <v>28</v>
      </c>
      <c r="F19" s="13">
        <v>2500</v>
      </c>
      <c r="G19" s="13" t="s">
        <v>28</v>
      </c>
      <c r="H19" s="13">
        <v>7.601</v>
      </c>
      <c r="I19" s="13" t="s">
        <v>28</v>
      </c>
      <c r="J19" s="13" t="s">
        <v>28</v>
      </c>
      <c r="K19" s="13" t="s">
        <v>28</v>
      </c>
      <c r="L19" s="13" t="s">
        <v>28</v>
      </c>
      <c r="M19" s="13" t="s">
        <v>28</v>
      </c>
      <c r="N19" s="13" t="s">
        <v>28</v>
      </c>
      <c r="O19" s="13" t="s">
        <v>28</v>
      </c>
      <c r="P19" s="13" t="s">
        <v>28</v>
      </c>
      <c r="Q19" s="13" t="s">
        <v>28</v>
      </c>
      <c r="R19" s="13" t="s">
        <v>28</v>
      </c>
      <c r="S19" s="13" t="s">
        <v>28</v>
      </c>
      <c r="T19" s="13" t="s">
        <v>28</v>
      </c>
      <c r="U19" s="13" t="s">
        <v>28</v>
      </c>
      <c r="V19" s="13" t="s">
        <v>28</v>
      </c>
      <c r="W19" s="13">
        <v>5.0464775945953209</v>
      </c>
      <c r="X19" s="13">
        <v>6.2977509212945815E-2</v>
      </c>
      <c r="Y19" s="13">
        <v>0.71740366997079918</v>
      </c>
      <c r="Z19" s="13">
        <v>2.2792542640082958E-2</v>
      </c>
      <c r="AA19" s="13">
        <v>-0.69275176517107262</v>
      </c>
    </row>
    <row r="20" spans="1:27" x14ac:dyDescent="0.25">
      <c r="A20" s="15" t="s">
        <v>47</v>
      </c>
      <c r="B20" s="8">
        <v>45252</v>
      </c>
      <c r="C20" s="9">
        <v>-32.397979999999997</v>
      </c>
      <c r="D20" s="9">
        <v>18.474489999999999</v>
      </c>
      <c r="E20" s="13" t="s">
        <v>28</v>
      </c>
      <c r="F20" s="13">
        <v>2057</v>
      </c>
      <c r="G20" s="13" t="s">
        <v>28</v>
      </c>
      <c r="H20" s="13">
        <v>6.4569999999999999</v>
      </c>
      <c r="I20" s="13" t="s">
        <v>28</v>
      </c>
      <c r="J20" s="13">
        <f t="shared" ref="J20" si="4">SUM(K20:AA20)</f>
        <v>1111.0442347401747</v>
      </c>
      <c r="K20" s="10">
        <v>248.8</v>
      </c>
      <c r="L20" s="10">
        <v>5.3789999999999996</v>
      </c>
      <c r="M20" s="10">
        <v>53.9</v>
      </c>
      <c r="N20" s="10">
        <v>55.67</v>
      </c>
      <c r="O20" s="14">
        <v>584.05600000000004</v>
      </c>
      <c r="P20" s="14">
        <v>16.149000000000001</v>
      </c>
      <c r="Q20" s="13">
        <v>137.9</v>
      </c>
      <c r="R20" s="14">
        <v>0.1</v>
      </c>
      <c r="S20" s="14" t="s">
        <v>28</v>
      </c>
      <c r="T20" s="14" t="s">
        <v>28</v>
      </c>
      <c r="U20" s="14">
        <v>2.0339999999999998</v>
      </c>
      <c r="V20" s="14">
        <v>0.186</v>
      </c>
      <c r="W20" s="13">
        <v>7.0502434346720966</v>
      </c>
      <c r="X20" s="13">
        <v>0.11576643151910088</v>
      </c>
      <c r="Y20" s="13">
        <v>1.0547647901272246</v>
      </c>
      <c r="Z20" s="13">
        <v>3.7334970202211229E-2</v>
      </c>
      <c r="AA20" s="13">
        <v>-1.3878748863457</v>
      </c>
    </row>
    <row r="21" spans="1:27" x14ac:dyDescent="0.25">
      <c r="A21" s="15" t="s">
        <v>48</v>
      </c>
      <c r="B21" s="8">
        <v>45251</v>
      </c>
      <c r="C21" s="22">
        <v>-32.601419999999997</v>
      </c>
      <c r="D21" s="22">
        <v>18.749839999999999</v>
      </c>
      <c r="E21" s="13" t="s">
        <v>28</v>
      </c>
      <c r="F21" s="13">
        <v>6105</v>
      </c>
      <c r="G21" s="13" t="s">
        <v>28</v>
      </c>
      <c r="H21" s="13">
        <v>7.2990000000000004</v>
      </c>
      <c r="I21" s="13" t="s">
        <v>28</v>
      </c>
      <c r="J21" s="13">
        <f>SUM(K21:AA21)</f>
        <v>3387.0055895110959</v>
      </c>
      <c r="K21" s="10">
        <v>803.3</v>
      </c>
      <c r="L21" s="10">
        <v>6.8120000000000003</v>
      </c>
      <c r="M21" s="10">
        <v>173.7</v>
      </c>
      <c r="N21" s="10">
        <v>108.3</v>
      </c>
      <c r="O21" s="14">
        <v>1959.7650000000001</v>
      </c>
      <c r="P21" s="14">
        <v>103.684</v>
      </c>
      <c r="Q21" s="13">
        <v>222.6</v>
      </c>
      <c r="R21" s="14" t="s">
        <v>28</v>
      </c>
      <c r="S21" s="14">
        <v>1.409</v>
      </c>
      <c r="T21" s="14" t="s">
        <v>28</v>
      </c>
      <c r="U21" s="14">
        <v>6.157</v>
      </c>
      <c r="V21" s="14">
        <v>0.05</v>
      </c>
      <c r="W21" s="13">
        <v>-4.0108158147894404</v>
      </c>
      <c r="X21" s="13">
        <v>0.35829373424607924</v>
      </c>
      <c r="Y21" s="13">
        <v>-1.2647242821009088</v>
      </c>
      <c r="Z21" s="13">
        <v>3.8857431721615383E-2</v>
      </c>
      <c r="AA21" s="13">
        <v>6.1069784420178301</v>
      </c>
    </row>
    <row r="22" spans="1:27" x14ac:dyDescent="0.25">
      <c r="A22" s="15" t="s">
        <v>49</v>
      </c>
      <c r="B22" s="8">
        <v>45251</v>
      </c>
      <c r="C22" s="9">
        <v>-32.429499999999997</v>
      </c>
      <c r="D22" s="9">
        <v>18.805499999999999</v>
      </c>
      <c r="E22" s="13" t="s">
        <v>28</v>
      </c>
      <c r="F22" s="13">
        <v>455.6</v>
      </c>
      <c r="G22" s="13" t="s">
        <v>28</v>
      </c>
      <c r="H22" s="13">
        <v>7.173</v>
      </c>
      <c r="I22" s="13" t="s">
        <v>28</v>
      </c>
      <c r="J22" s="13">
        <f>SUM(K22:AA22)</f>
        <v>218.98238707965189</v>
      </c>
      <c r="K22" s="10">
        <v>55.04</v>
      </c>
      <c r="L22" s="10">
        <v>2.411</v>
      </c>
      <c r="M22" s="10">
        <v>9.91</v>
      </c>
      <c r="N22" s="10">
        <v>6.3609999999999998</v>
      </c>
      <c r="O22" s="14">
        <v>119.235</v>
      </c>
      <c r="P22" s="14">
        <v>9.4320000000000004</v>
      </c>
      <c r="Q22" s="13">
        <v>16.899999999999999</v>
      </c>
      <c r="R22" s="14" t="s">
        <v>28</v>
      </c>
      <c r="S22" s="14">
        <v>5.1689999999999996</v>
      </c>
      <c r="T22" s="14" t="s">
        <v>28</v>
      </c>
      <c r="U22" s="14">
        <v>0.44500000000000001</v>
      </c>
      <c r="V22" s="14">
        <v>0.05</v>
      </c>
      <c r="W22" s="13">
        <v>-14.47150978414658</v>
      </c>
      <c r="X22" s="13">
        <v>5.8660605747526101E-2</v>
      </c>
      <c r="Y22" s="13">
        <v>-3.2664703263104768</v>
      </c>
      <c r="Z22" s="13">
        <v>4.8453758024189067E-2</v>
      </c>
      <c r="AA22" s="13">
        <v>11.660252826337235</v>
      </c>
    </row>
    <row r="23" spans="1:27" x14ac:dyDescent="0.25">
      <c r="A23" s="15" t="s">
        <v>50</v>
      </c>
      <c r="B23" s="8">
        <v>45251</v>
      </c>
      <c r="C23" s="22">
        <v>-32.442570000000003</v>
      </c>
      <c r="D23" s="22">
        <v>18.784400000000002</v>
      </c>
      <c r="E23" s="13" t="s">
        <v>28</v>
      </c>
      <c r="F23" s="13">
        <v>657.2</v>
      </c>
      <c r="G23" s="13" t="s">
        <v>28</v>
      </c>
      <c r="H23" s="13">
        <v>6.9649999999999999</v>
      </c>
      <c r="I23" s="13" t="s">
        <v>28</v>
      </c>
      <c r="J23" s="13" t="s">
        <v>28</v>
      </c>
      <c r="K23" s="13" t="s">
        <v>28</v>
      </c>
      <c r="L23" s="13" t="s">
        <v>28</v>
      </c>
      <c r="M23" s="13" t="s">
        <v>28</v>
      </c>
      <c r="N23" s="13" t="s">
        <v>28</v>
      </c>
      <c r="O23" s="13" t="s">
        <v>28</v>
      </c>
      <c r="P23" s="13" t="s">
        <v>28</v>
      </c>
      <c r="Q23" s="13" t="s">
        <v>28</v>
      </c>
      <c r="R23" s="13" t="s">
        <v>28</v>
      </c>
      <c r="S23" s="13" t="s">
        <v>28</v>
      </c>
      <c r="T23" s="13" t="s">
        <v>28</v>
      </c>
      <c r="U23" s="13" t="s">
        <v>28</v>
      </c>
      <c r="V23" s="13" t="s">
        <v>28</v>
      </c>
      <c r="W23" s="13">
        <v>-11.208573752747293</v>
      </c>
      <c r="X23" s="13">
        <v>0.12703975755644376</v>
      </c>
      <c r="Y23" s="13">
        <v>-2.6052355243424064</v>
      </c>
      <c r="Z23" s="13">
        <v>2.3908157603629909E-2</v>
      </c>
      <c r="AA23" s="13">
        <v>9.6333104419919575</v>
      </c>
    </row>
    <row r="24" spans="1:27" x14ac:dyDescent="0.25">
      <c r="A24" s="15" t="s">
        <v>51</v>
      </c>
      <c r="B24" s="8">
        <v>45253</v>
      </c>
      <c r="C24" s="9">
        <v>-32.316856000000001</v>
      </c>
      <c r="D24" s="9">
        <v>18.332287000000001</v>
      </c>
      <c r="E24" s="13" t="s">
        <v>28</v>
      </c>
      <c r="F24" s="13">
        <v>3543</v>
      </c>
      <c r="G24" s="13" t="s">
        <v>28</v>
      </c>
      <c r="H24" s="13">
        <v>6.891</v>
      </c>
      <c r="I24" s="13" t="s">
        <v>28</v>
      </c>
      <c r="J24" s="13">
        <f>SUM(K24:AA24)</f>
        <v>2006.3320626858213</v>
      </c>
      <c r="K24" s="10">
        <v>422</v>
      </c>
      <c r="L24" s="10">
        <v>17.78</v>
      </c>
      <c r="M24" s="10">
        <v>88.98</v>
      </c>
      <c r="N24" s="10">
        <v>115.4</v>
      </c>
      <c r="O24" s="14">
        <v>939.71699999999998</v>
      </c>
      <c r="P24" s="14">
        <v>364.27800000000002</v>
      </c>
      <c r="Q24" s="13">
        <v>45.1</v>
      </c>
      <c r="R24" s="14" t="s">
        <v>28</v>
      </c>
      <c r="S24" s="14">
        <v>0.63600000000000001</v>
      </c>
      <c r="T24" s="14" t="s">
        <v>28</v>
      </c>
      <c r="U24" s="14">
        <v>3.0609999999999999</v>
      </c>
      <c r="V24" s="14">
        <v>0.23699999999999999</v>
      </c>
      <c r="W24" s="13">
        <v>9.5572016798618336</v>
      </c>
      <c r="X24" s="13">
        <v>0.33479152717275618</v>
      </c>
      <c r="Y24" s="13">
        <v>1.4802321633670776</v>
      </c>
      <c r="Z24" s="13">
        <v>5.5492942494218725E-2</v>
      </c>
      <c r="AA24" s="13">
        <v>-2.2846556270747875</v>
      </c>
    </row>
    <row r="25" spans="1:27" x14ac:dyDescent="0.25">
      <c r="A25" s="15" t="s">
        <v>52</v>
      </c>
      <c r="B25" s="8">
        <v>45253</v>
      </c>
      <c r="C25" s="22">
        <v>-32.314414999999997</v>
      </c>
      <c r="D25" s="22">
        <v>18.355177999999999</v>
      </c>
      <c r="E25" s="13" t="s">
        <v>28</v>
      </c>
      <c r="F25" s="13">
        <v>3203</v>
      </c>
      <c r="G25" s="13" t="s">
        <v>28</v>
      </c>
      <c r="H25" s="13">
        <v>6.73</v>
      </c>
      <c r="I25" s="13" t="s">
        <v>28</v>
      </c>
      <c r="J25" s="13" t="s">
        <v>28</v>
      </c>
      <c r="K25" s="13" t="s">
        <v>28</v>
      </c>
      <c r="L25" s="13" t="s">
        <v>28</v>
      </c>
      <c r="M25" s="13" t="s">
        <v>28</v>
      </c>
      <c r="N25" s="13" t="s">
        <v>28</v>
      </c>
      <c r="O25" s="13" t="s">
        <v>28</v>
      </c>
      <c r="P25" s="13" t="s">
        <v>28</v>
      </c>
      <c r="Q25" s="13" t="s">
        <v>28</v>
      </c>
      <c r="R25" s="13" t="s">
        <v>28</v>
      </c>
      <c r="S25" s="13" t="s">
        <v>28</v>
      </c>
      <c r="T25" s="13" t="s">
        <v>28</v>
      </c>
      <c r="U25" s="13" t="s">
        <v>28</v>
      </c>
      <c r="V25" s="13" t="s">
        <v>28</v>
      </c>
      <c r="W25" s="13">
        <v>7.1742577681401807</v>
      </c>
      <c r="X25" s="13">
        <v>7.0175969296238871E-2</v>
      </c>
      <c r="Y25" s="13">
        <v>0.93267719887643097</v>
      </c>
      <c r="Z25" s="13">
        <v>3.3320664259085038E-2</v>
      </c>
      <c r="AA25" s="13">
        <v>-0.28715982287126707</v>
      </c>
    </row>
    <row r="26" spans="1:27" x14ac:dyDescent="0.25">
      <c r="A26" s="15" t="s">
        <v>53</v>
      </c>
      <c r="B26" s="8">
        <v>45253</v>
      </c>
      <c r="C26" s="9">
        <v>-32.34798</v>
      </c>
      <c r="D26" s="9">
        <v>18.438465999999998</v>
      </c>
      <c r="E26" s="13" t="s">
        <v>28</v>
      </c>
      <c r="F26" s="13">
        <v>2752</v>
      </c>
      <c r="G26" s="13" t="s">
        <v>28</v>
      </c>
      <c r="H26" s="13">
        <v>6.73</v>
      </c>
      <c r="I26" s="13" t="s">
        <v>28</v>
      </c>
      <c r="J26" s="13">
        <f>SUM(K26:AA26)</f>
        <v>1606.4968145185373</v>
      </c>
      <c r="K26" s="10">
        <v>316.2</v>
      </c>
      <c r="L26" s="10">
        <v>14.19</v>
      </c>
      <c r="M26" s="10">
        <v>69.959999999999994</v>
      </c>
      <c r="N26" s="10">
        <v>107.3</v>
      </c>
      <c r="O26" s="14">
        <v>709.23099999999999</v>
      </c>
      <c r="P26" s="14">
        <v>366.08100000000002</v>
      </c>
      <c r="Q26" s="13">
        <v>13.7</v>
      </c>
      <c r="R26" s="14" t="s">
        <v>28</v>
      </c>
      <c r="S26" s="14">
        <v>1.6060000000000001</v>
      </c>
      <c r="T26" s="14" t="s">
        <v>28</v>
      </c>
      <c r="U26" s="14">
        <v>2.1139999999999999</v>
      </c>
      <c r="V26" s="14">
        <v>0.17599999999999999</v>
      </c>
      <c r="W26" s="13">
        <v>0.88350329098520053</v>
      </c>
      <c r="X26" s="13">
        <v>0.17603030042201953</v>
      </c>
      <c r="Y26" s="13">
        <v>-0.56828201120685495</v>
      </c>
      <c r="Z26" s="13">
        <v>1.7803557696894942E-2</v>
      </c>
      <c r="AA26" s="13">
        <v>5.4297593806400402</v>
      </c>
    </row>
    <row r="27" spans="1:27" x14ac:dyDescent="0.25">
      <c r="A27" s="15" t="s">
        <v>54</v>
      </c>
      <c r="B27" s="8">
        <v>45315</v>
      </c>
      <c r="C27" s="22">
        <v>-32.714350000000003</v>
      </c>
      <c r="D27" s="22">
        <v>18.708313</v>
      </c>
      <c r="E27" s="13" t="s">
        <v>28</v>
      </c>
      <c r="F27" s="13">
        <v>208.1</v>
      </c>
      <c r="G27" s="13" t="s">
        <v>28</v>
      </c>
      <c r="H27" s="13">
        <v>7.1310000000000002</v>
      </c>
      <c r="I27" s="13" t="s">
        <v>28</v>
      </c>
      <c r="J27" s="13">
        <f>SUM(K27:AA27)</f>
        <v>91.245143506416468</v>
      </c>
      <c r="K27" s="10">
        <v>17.590483472116901</v>
      </c>
      <c r="L27" s="10">
        <v>0.72834439136717299</v>
      </c>
      <c r="M27" s="10">
        <v>4.4119417049875302</v>
      </c>
      <c r="N27" s="10">
        <v>10.788850109879</v>
      </c>
      <c r="O27" s="14">
        <v>30.09</v>
      </c>
      <c r="P27" s="14">
        <v>12.209</v>
      </c>
      <c r="Q27" s="13">
        <v>15.5</v>
      </c>
      <c r="R27" s="14">
        <v>0.1</v>
      </c>
      <c r="S27" s="14">
        <v>0.79</v>
      </c>
      <c r="T27" s="14" t="s">
        <v>28</v>
      </c>
      <c r="U27" s="14">
        <v>0.108</v>
      </c>
      <c r="V27" s="14">
        <v>5.2999999999999999E-2</v>
      </c>
      <c r="W27" s="13">
        <v>-8.2414377596709194</v>
      </c>
      <c r="X27" s="13">
        <v>5.3038665141574036E-2</v>
      </c>
      <c r="Y27" s="13">
        <v>-2.437764375791093</v>
      </c>
      <c r="Z27" s="13">
        <v>2.5187298386289737E-2</v>
      </c>
      <c r="AA27" s="13">
        <v>9.4764999999999997</v>
      </c>
    </row>
    <row r="28" spans="1:27" x14ac:dyDescent="0.25">
      <c r="A28" s="15" t="s">
        <v>55</v>
      </c>
      <c r="B28" s="8">
        <v>45315</v>
      </c>
      <c r="C28" s="22">
        <v>-32.607686000000001</v>
      </c>
      <c r="D28" s="22">
        <v>18.663474999999998</v>
      </c>
      <c r="E28" s="13" t="s">
        <v>28</v>
      </c>
      <c r="F28" s="13">
        <v>2947</v>
      </c>
      <c r="G28" s="13" t="s">
        <v>28</v>
      </c>
      <c r="H28" s="13">
        <v>8.0540000000000003</v>
      </c>
      <c r="I28" s="13" t="s">
        <v>28</v>
      </c>
      <c r="J28" s="13" t="s">
        <v>28</v>
      </c>
      <c r="K28" s="13" t="s">
        <v>28</v>
      </c>
      <c r="L28" s="13" t="s">
        <v>28</v>
      </c>
      <c r="M28" s="13" t="s">
        <v>28</v>
      </c>
      <c r="N28" s="13" t="s">
        <v>28</v>
      </c>
      <c r="O28" s="13" t="s">
        <v>28</v>
      </c>
      <c r="P28" s="13" t="s">
        <v>28</v>
      </c>
      <c r="Q28" s="13" t="s">
        <v>28</v>
      </c>
      <c r="R28" s="13" t="s">
        <v>28</v>
      </c>
      <c r="S28" s="13" t="s">
        <v>28</v>
      </c>
      <c r="T28" s="13" t="s">
        <v>28</v>
      </c>
      <c r="U28" s="13" t="s">
        <v>28</v>
      </c>
      <c r="V28" s="13" t="s">
        <v>28</v>
      </c>
      <c r="W28" s="13">
        <v>3.2205553600339556</v>
      </c>
      <c r="X28" s="13">
        <v>0.29157686236508323</v>
      </c>
      <c r="Y28" s="13">
        <v>1.0980057446228895</v>
      </c>
      <c r="Z28" s="13">
        <v>1.9924022351590243E-2</v>
      </c>
      <c r="AA28" s="13">
        <v>-6.2850000000000001</v>
      </c>
    </row>
    <row r="29" spans="1:27" x14ac:dyDescent="0.25">
      <c r="A29" s="15" t="s">
        <v>56</v>
      </c>
      <c r="B29" s="8">
        <v>45315</v>
      </c>
      <c r="C29" s="9">
        <v>-32.600209999999997</v>
      </c>
      <c r="D29" s="9">
        <v>18.679698999999999</v>
      </c>
      <c r="E29" s="13" t="s">
        <v>28</v>
      </c>
      <c r="F29" s="13">
        <v>1561</v>
      </c>
      <c r="G29" s="13" t="s">
        <v>28</v>
      </c>
      <c r="H29" s="13">
        <v>7.7439999999999998</v>
      </c>
      <c r="I29" s="13" t="s">
        <v>28</v>
      </c>
      <c r="J29" s="13">
        <f>SUM(K29:AA29)</f>
        <v>979.82071824769184</v>
      </c>
      <c r="K29" s="14">
        <v>148.88381327036299</v>
      </c>
      <c r="L29" s="14">
        <v>4.0869059473557803</v>
      </c>
      <c r="M29" s="14">
        <v>43.667779576914398</v>
      </c>
      <c r="N29" s="14">
        <v>97.325708056581803</v>
      </c>
      <c r="O29" s="14">
        <v>545.46900000000005</v>
      </c>
      <c r="P29" s="14">
        <v>47.755000000000003</v>
      </c>
      <c r="Q29" s="13">
        <v>88.5</v>
      </c>
      <c r="R29" s="14" t="s">
        <v>28</v>
      </c>
      <c r="S29" s="14" t="s">
        <v>28</v>
      </c>
      <c r="T29" s="14" t="s">
        <v>28</v>
      </c>
      <c r="U29" s="14">
        <v>1.3340000000000001</v>
      </c>
      <c r="V29" s="14">
        <v>0.107</v>
      </c>
      <c r="W29" s="13">
        <v>6.1526260365131344</v>
      </c>
      <c r="X29" s="13">
        <v>0.25615984592958119</v>
      </c>
      <c r="Y29" s="13">
        <v>1.318566048240482</v>
      </c>
      <c r="Z29" s="13">
        <v>5.5159465793884109E-2</v>
      </c>
      <c r="AA29" s="13">
        <v>-5.091000000000002</v>
      </c>
    </row>
    <row r="30" spans="1:27" x14ac:dyDescent="0.25">
      <c r="A30" s="15" t="s">
        <v>57</v>
      </c>
      <c r="B30" s="8">
        <v>45313</v>
      </c>
      <c r="C30" s="22">
        <v>-32.433700000000002</v>
      </c>
      <c r="D30" s="22">
        <v>18.503599999999999</v>
      </c>
      <c r="E30" s="13" t="s">
        <v>28</v>
      </c>
      <c r="F30" s="13">
        <v>3652</v>
      </c>
      <c r="G30" s="13" t="s">
        <v>28</v>
      </c>
      <c r="H30" s="13">
        <v>7.6849999999999996</v>
      </c>
      <c r="I30" s="13" t="s">
        <v>28</v>
      </c>
      <c r="J30" s="13" t="s">
        <v>28</v>
      </c>
      <c r="K30" s="13" t="s">
        <v>28</v>
      </c>
      <c r="L30" s="13" t="s">
        <v>28</v>
      </c>
      <c r="M30" s="13" t="s">
        <v>28</v>
      </c>
      <c r="N30" s="13" t="s">
        <v>28</v>
      </c>
      <c r="O30" s="13" t="s">
        <v>28</v>
      </c>
      <c r="P30" s="13" t="s">
        <v>28</v>
      </c>
      <c r="Q30" s="13" t="s">
        <v>28</v>
      </c>
      <c r="R30" s="13" t="s">
        <v>28</v>
      </c>
      <c r="S30" s="13" t="s">
        <v>28</v>
      </c>
      <c r="T30" s="13" t="s">
        <v>28</v>
      </c>
      <c r="U30" s="13" t="s">
        <v>28</v>
      </c>
      <c r="V30" s="13" t="s">
        <v>28</v>
      </c>
      <c r="W30" s="13">
        <v>31.022274364088972</v>
      </c>
      <c r="X30" s="13">
        <v>0.27718441514630626</v>
      </c>
      <c r="Y30" s="13">
        <v>6.7589372082003676</v>
      </c>
      <c r="Z30" s="13">
        <v>3.1707517510310881E-2</v>
      </c>
      <c r="AA30" s="13">
        <v>-22.239333333333338</v>
      </c>
    </row>
    <row r="31" spans="1:27" x14ac:dyDescent="0.25">
      <c r="A31" s="15" t="s">
        <v>58</v>
      </c>
      <c r="B31" s="8">
        <v>45313</v>
      </c>
      <c r="C31" s="22">
        <v>-32.397979999999997</v>
      </c>
      <c r="D31" s="22">
        <v>18.474489999999999</v>
      </c>
      <c r="E31" s="13" t="s">
        <v>28</v>
      </c>
      <c r="F31" s="13">
        <v>3116</v>
      </c>
      <c r="G31" s="13" t="s">
        <v>28</v>
      </c>
      <c r="H31" s="13">
        <v>8.0939999999999994</v>
      </c>
      <c r="I31" s="13" t="s">
        <v>28</v>
      </c>
      <c r="J31" s="13">
        <f>SUM(K31:AA31)</f>
        <v>1957.8327541036774</v>
      </c>
      <c r="K31" s="14">
        <v>409.57233151290598</v>
      </c>
      <c r="L31" s="14">
        <v>4.9259200675977404</v>
      </c>
      <c r="M31" s="14">
        <v>86.282433717066894</v>
      </c>
      <c r="N31" s="14">
        <v>69.647711405250604</v>
      </c>
      <c r="O31" s="14">
        <v>1124.9590000000001</v>
      </c>
      <c r="P31" s="14">
        <v>11.134</v>
      </c>
      <c r="Q31" s="13">
        <v>234.8</v>
      </c>
      <c r="R31" s="14" t="s">
        <v>28</v>
      </c>
      <c r="S31" s="14" t="s">
        <v>28</v>
      </c>
      <c r="T31" s="14" t="s">
        <v>28</v>
      </c>
      <c r="U31" s="14">
        <v>3.5209999999999999</v>
      </c>
      <c r="V31" s="14">
        <v>0.37</v>
      </c>
      <c r="W31" s="13">
        <v>24.402372955425484</v>
      </c>
      <c r="X31" s="13">
        <v>0.10424282549253289</v>
      </c>
      <c r="Y31" s="13">
        <v>5.2431086025626881</v>
      </c>
      <c r="Z31" s="13">
        <v>2.8133017375792824E-2</v>
      </c>
      <c r="AA31" s="13">
        <v>-17.157499999999995</v>
      </c>
    </row>
    <row r="32" spans="1:27" x14ac:dyDescent="0.25">
      <c r="A32" s="15" t="s">
        <v>59</v>
      </c>
      <c r="B32" s="8">
        <v>45314</v>
      </c>
      <c r="C32" s="9">
        <v>-32.429499999999997</v>
      </c>
      <c r="D32" s="9">
        <v>18.805499999999999</v>
      </c>
      <c r="E32" s="13" t="s">
        <v>28</v>
      </c>
      <c r="F32" s="13">
        <v>283.5</v>
      </c>
      <c r="G32" s="13" t="s">
        <v>28</v>
      </c>
      <c r="H32" s="13">
        <v>7.492</v>
      </c>
      <c r="I32" s="13" t="s">
        <v>28</v>
      </c>
      <c r="J32" s="14">
        <f>SUM(K32:AA32)</f>
        <v>125.68147095433042</v>
      </c>
      <c r="K32" s="14">
        <v>34.860089082686201</v>
      </c>
      <c r="L32" s="14">
        <v>0.84277077458351501</v>
      </c>
      <c r="M32" s="14">
        <v>5.0228763966147199</v>
      </c>
      <c r="N32" s="14">
        <v>6.3246977130550697</v>
      </c>
      <c r="O32" s="14">
        <v>74.113</v>
      </c>
      <c r="P32" s="14">
        <v>4.9080000000000004</v>
      </c>
      <c r="Q32" s="13">
        <v>5</v>
      </c>
      <c r="R32" s="14">
        <v>0.1</v>
      </c>
      <c r="S32" s="14">
        <v>2.6579999999999999</v>
      </c>
      <c r="T32" s="14" t="s">
        <v>28</v>
      </c>
      <c r="U32" s="14">
        <v>0.23699999999999999</v>
      </c>
      <c r="V32" s="14">
        <v>0.05</v>
      </c>
      <c r="W32" s="13">
        <v>-16.242345135833311</v>
      </c>
      <c r="X32" s="13">
        <v>0.42876508719810702</v>
      </c>
      <c r="Y32" s="13">
        <v>-3.6620136559976029</v>
      </c>
      <c r="Z32" s="13">
        <v>6.6464025357080694E-2</v>
      </c>
      <c r="AA32" s="13">
        <v>10.974166666666669</v>
      </c>
    </row>
    <row r="33" spans="1:27" x14ac:dyDescent="0.25">
      <c r="A33" s="15" t="s">
        <v>60</v>
      </c>
      <c r="B33" s="8">
        <v>45314</v>
      </c>
      <c r="C33" s="22">
        <v>-32.442570000000003</v>
      </c>
      <c r="D33" s="22">
        <v>18.784400000000002</v>
      </c>
      <c r="E33" s="13" t="s">
        <v>28</v>
      </c>
      <c r="F33" s="13">
        <v>455.5</v>
      </c>
      <c r="G33" s="13" t="s">
        <v>28</v>
      </c>
      <c r="H33" s="13">
        <v>5.4930000000000003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  <c r="V33" s="13" t="s">
        <v>28</v>
      </c>
      <c r="W33" s="13">
        <v>-17.657464683210218</v>
      </c>
      <c r="X33" s="13">
        <v>0.21503247816705906</v>
      </c>
      <c r="Y33" s="13">
        <v>-4.0068136243111807</v>
      </c>
      <c r="Z33" s="13">
        <v>2.5500326795291562E-2</v>
      </c>
      <c r="AA33" s="13">
        <v>12.219166666666666</v>
      </c>
    </row>
    <row r="34" spans="1:27" x14ac:dyDescent="0.25">
      <c r="A34" s="15" t="s">
        <v>61</v>
      </c>
      <c r="B34" s="8">
        <v>45314</v>
      </c>
      <c r="C34" s="9">
        <v>-32.34798</v>
      </c>
      <c r="D34" s="9">
        <v>18.438465999999998</v>
      </c>
      <c r="E34" s="13" t="s">
        <v>28</v>
      </c>
      <c r="F34" s="13">
        <v>3445</v>
      </c>
      <c r="G34" s="13" t="s">
        <v>28</v>
      </c>
      <c r="H34" s="13">
        <v>4.7149999999999999</v>
      </c>
      <c r="I34" s="13" t="s">
        <v>28</v>
      </c>
      <c r="J34" s="13">
        <f>SUM(K34:AA34)</f>
        <v>2316.8040484895037</v>
      </c>
      <c r="K34" s="14">
        <v>381.46779082086402</v>
      </c>
      <c r="L34" s="14">
        <v>14.2411343675633</v>
      </c>
      <c r="M34" s="14">
        <v>82.583505825827402</v>
      </c>
      <c r="N34" s="14">
        <v>208.51763466734599</v>
      </c>
      <c r="O34" s="14">
        <v>1106.6189999999999</v>
      </c>
      <c r="P34" s="14">
        <v>501.334</v>
      </c>
      <c r="Q34" s="13">
        <v>7.9</v>
      </c>
      <c r="R34" s="14" t="s">
        <v>28</v>
      </c>
      <c r="S34" s="14">
        <v>0.98099999999999998</v>
      </c>
      <c r="T34" s="14" t="s">
        <v>28</v>
      </c>
      <c r="U34" s="14">
        <v>2.6949999999999998</v>
      </c>
      <c r="V34" s="14">
        <v>0.223</v>
      </c>
      <c r="W34" s="13">
        <v>10.77679816266223</v>
      </c>
      <c r="X34" s="13">
        <v>0.21347193414279717</v>
      </c>
      <c r="Y34" s="13">
        <v>1.5544818160339826</v>
      </c>
      <c r="Z34" s="13">
        <v>4.9897561730676485E-2</v>
      </c>
      <c r="AA34" s="13">
        <v>-2.3526666666666678</v>
      </c>
    </row>
    <row r="35" spans="1:27" x14ac:dyDescent="0.25">
      <c r="A35" s="15" t="s">
        <v>62</v>
      </c>
      <c r="B35" s="8">
        <v>45313</v>
      </c>
      <c r="C35" s="9">
        <v>-32.316856000000001</v>
      </c>
      <c r="D35" s="9">
        <v>18.332287000000001</v>
      </c>
      <c r="E35" s="13" t="s">
        <v>28</v>
      </c>
      <c r="F35" s="13">
        <v>9520</v>
      </c>
      <c r="G35" s="13" t="s">
        <v>28</v>
      </c>
      <c r="H35" s="13">
        <v>8.8689999999999998</v>
      </c>
      <c r="I35" s="13" t="s">
        <v>28</v>
      </c>
      <c r="J35" s="13">
        <f>SUM(K35:AA35)</f>
        <v>6956.5848120776927</v>
      </c>
      <c r="K35" s="14">
        <v>1405.75093754771</v>
      </c>
      <c r="L35" s="14">
        <v>57.315294810125899</v>
      </c>
      <c r="M35" s="14">
        <v>247.77035393768401</v>
      </c>
      <c r="N35" s="14">
        <v>317.08674711015198</v>
      </c>
      <c r="O35" s="14">
        <v>3742.4209999999998</v>
      </c>
      <c r="P35" s="14">
        <v>986.85699999999997</v>
      </c>
      <c r="Q35" s="13">
        <v>162.6</v>
      </c>
      <c r="R35" s="14" t="s">
        <v>28</v>
      </c>
      <c r="S35" s="14" t="s">
        <v>28</v>
      </c>
      <c r="T35" s="14" t="s">
        <v>28</v>
      </c>
      <c r="U35" s="14">
        <v>11.834</v>
      </c>
      <c r="V35" s="14">
        <v>0.72599999999999998</v>
      </c>
      <c r="W35" s="13">
        <v>43.22288588990854</v>
      </c>
      <c r="X35" s="13">
        <v>0.16811355289406726</v>
      </c>
      <c r="Y35" s="13">
        <v>9.1240276791124302</v>
      </c>
      <c r="Z35" s="13">
        <v>3.8618216772226571E-2</v>
      </c>
      <c r="AA35" s="13">
        <v>-28.330166666666663</v>
      </c>
    </row>
    <row r="36" spans="1:27" x14ac:dyDescent="0.25">
      <c r="A36" s="15" t="s">
        <v>63</v>
      </c>
      <c r="B36" s="8">
        <v>45314</v>
      </c>
      <c r="C36" s="22">
        <v>-32.314414999999997</v>
      </c>
      <c r="D36" s="22">
        <v>18.355177999999999</v>
      </c>
      <c r="E36" s="13" t="s">
        <v>28</v>
      </c>
      <c r="F36" s="13">
        <v>5258</v>
      </c>
      <c r="G36" s="13" t="s">
        <v>28</v>
      </c>
      <c r="H36" s="13">
        <v>8.3919999999999995</v>
      </c>
      <c r="I36" s="13" t="s">
        <v>28</v>
      </c>
      <c r="J36" s="13">
        <f>SUM(K36:AA36)</f>
        <v>3627.1753355508918</v>
      </c>
      <c r="K36" s="14">
        <v>672.46321105403001</v>
      </c>
      <c r="L36" s="14">
        <v>23.233094061725399</v>
      </c>
      <c r="M36" s="14">
        <v>135.14363374655599</v>
      </c>
      <c r="N36" s="14">
        <v>199.103174626634</v>
      </c>
      <c r="O36" s="14">
        <v>1898.5029999999999</v>
      </c>
      <c r="P36" s="14">
        <v>575.03800000000001</v>
      </c>
      <c r="Q36" s="13">
        <v>98.3</v>
      </c>
      <c r="R36" s="14" t="s">
        <v>28</v>
      </c>
      <c r="S36" s="14" t="s">
        <v>28</v>
      </c>
      <c r="T36" s="14" t="s">
        <v>28</v>
      </c>
      <c r="U36" s="14">
        <v>5.4489999999999998</v>
      </c>
      <c r="V36" s="14">
        <v>0.46500000000000002</v>
      </c>
      <c r="W36" s="13">
        <v>30.511079823827611</v>
      </c>
      <c r="X36" s="13">
        <v>0.28842121974639812</v>
      </c>
      <c r="Y36" s="13">
        <v>6.0637534664183352</v>
      </c>
      <c r="Z36" s="13">
        <v>4.3300885287331857E-2</v>
      </c>
      <c r="AA36" s="13">
        <v>-17.429333333333332</v>
      </c>
    </row>
    <row r="37" spans="1:27" x14ac:dyDescent="0.25">
      <c r="A37" s="26"/>
      <c r="B37" s="27"/>
      <c r="C37" s="28"/>
      <c r="D37" s="28"/>
      <c r="E37" s="2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x14ac:dyDescent="0.25">
      <c r="A38" s="26"/>
      <c r="B38" s="27"/>
      <c r="C38" s="28"/>
      <c r="D38" s="28"/>
      <c r="E38" s="29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</sheetData>
  <conditionalFormatting sqref="X17:X20 X22:X26">
    <cfRule type="cellIs" dxfId="6" priority="7" operator="greaterThan">
      <formula>2</formula>
    </cfRule>
  </conditionalFormatting>
  <conditionalFormatting sqref="X21">
    <cfRule type="cellIs" dxfId="5" priority="5" operator="greaterThan">
      <formula>2</formula>
    </cfRule>
  </conditionalFormatting>
  <conditionalFormatting sqref="X27:X36">
    <cfRule type="cellIs" dxfId="4" priority="3" operator="greaterThan">
      <formula>2</formula>
    </cfRule>
    <cfRule type="cellIs" dxfId="3" priority="4" operator="greaterThan">
      <formula>2</formula>
    </cfRule>
  </conditionalFormatting>
  <conditionalFormatting sqref="Y7">
    <cfRule type="cellIs" dxfId="2" priority="1" operator="greaterThan">
      <formula>2</formula>
    </cfRule>
  </conditionalFormatting>
  <conditionalFormatting sqref="Z17:Z36">
    <cfRule type="cellIs" dxfId="1" priority="6" operator="greaterThan">
      <formula>0.2</formula>
    </cfRule>
  </conditionalFormatting>
  <conditionalFormatting sqref="Z27:Z36">
    <cfRule type="cellIs" dxfId="0" priority="2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Verlorenvlei_SurfaceWater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Mashazi, MB, Mr [21848637@sun.ac.za]</dc:creator>
  <cp:lastModifiedBy>Mashazi, MB, Mr [21848637@sun.ac.za]</cp:lastModifiedBy>
  <dcterms:created xsi:type="dcterms:W3CDTF">2026-04-27T16:51:21Z</dcterms:created>
  <dcterms:modified xsi:type="dcterms:W3CDTF">2026-04-27T16:52:06Z</dcterms:modified>
</cp:coreProperties>
</file>